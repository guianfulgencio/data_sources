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01"/>
  <fileSharing readOnlyRecommended="1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chevron-my.sharepoint.com/personal/sergeiondar_chevron_com/Documents/"/>
    </mc:Choice>
  </mc:AlternateContent>
  <xr:revisionPtr revIDLastSave="0" documentId="8_{ABBB8BE2-1FB2-49E1-88FB-EDC2E8A73FDE}" xr6:coauthVersionLast="46" xr6:coauthVersionMax="46" xr10:uidLastSave="{00000000-0000-0000-0000-000000000000}"/>
  <bookViews>
    <workbookView xWindow="28680" yWindow="-120" windowWidth="29040" windowHeight="15840" firstSheet="13" activeTab="13" xr2:uid="{FE9A7897-F94C-4EE6-9ADB-B1BA5EDF5CDF}"/>
  </bookViews>
  <sheets>
    <sheet name="Design Decisons" sheetId="20" r:id="rId1"/>
    <sheet name="Index" sheetId="22" r:id="rId2"/>
    <sheet name="Base Config" sheetId="1" r:id="rId3"/>
    <sheet name="VLANs " sheetId="10" r:id="rId4"/>
    <sheet name="SVI for Data Vlan" sheetId="15" r:id="rId5"/>
    <sheet name="NTP Config + NTP ACL" sheetId="4" r:id="rId6"/>
    <sheet name="STP(spanning tree) Config" sheetId="11" r:id="rId7"/>
    <sheet name="DNS Config" sheetId="3" r:id="rId8"/>
    <sheet name="SSH Config" sheetId="2" r:id="rId9"/>
    <sheet name="VTP Config" sheetId="6" r:id="rId10"/>
    <sheet name="VTY + ACL" sheetId="8" r:id="rId11"/>
    <sheet name="Syslog Config" sheetId="5" r:id="rId12"/>
    <sheet name="Tacacs config" sheetId="12" r:id="rId13"/>
    <sheet name="Dot1x Config (+int conf)" sheetId="13" r:id="rId14"/>
    <sheet name="Uplink Config" sheetId="14" r:id="rId15"/>
    <sheet name="SNMP Config + SNMP ACL" sheetId="7" r:id="rId16"/>
    <sheet name="QoS Config" sheetId="16" r:id="rId17"/>
    <sheet name="License call home config" sheetId="17" r:id="rId18"/>
    <sheet name="MACSEC config(optional)" sheetId="19" r:id="rId19"/>
    <sheet name="Uplink Tagging" sheetId="23" r:id="rId20"/>
    <sheet name="SNMP Location" sheetId="24" r:id="rId21"/>
  </sheets>
  <externalReferences>
    <externalReference r:id="rId22"/>
  </externalReferences>
  <definedNames>
    <definedName name="Design_Decisons">Index!#REF!</definedName>
    <definedName name="FacCode">[1]Details!$I$9</definedName>
    <definedName name="LocInfo">[1]Details!$I$10</definedName>
    <definedName name="MgmtInt">[1]Details!$B$20</definedName>
    <definedName name="SheetName">REPLACE(GET.WORKBOOK(1),1,FIND("]",GET.WORKBOOK(1)),"")</definedName>
    <definedName name="SheetNames">REPLACE(GET.WORKBOOK(1),1,FIND("]",GET.WORKBOOK(1)),"")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0" i="22" l="1"/>
  <c r="C21" i="22"/>
  <c r="C18" i="22"/>
  <c r="C19" i="22" l="1"/>
  <c r="H44" i="7" l="1"/>
  <c r="B7" i="22"/>
  <c r="B12" i="22"/>
  <c r="B2" i="22"/>
  <c r="B6" i="22"/>
  <c r="B11" i="22"/>
  <c r="B10" i="22"/>
  <c r="B13" i="22"/>
  <c r="B4" i="22"/>
  <c r="B16" i="22"/>
  <c r="B5" i="22"/>
  <c r="B15" i="22"/>
  <c r="B8" i="22"/>
  <c r="B9" i="22"/>
  <c r="B14" i="22"/>
  <c r="B3" i="22"/>
  <c r="B17" i="22"/>
  <c r="C12" i="22" l="1"/>
  <c r="C15" i="22"/>
  <c r="C10" i="22"/>
  <c r="C5" i="22"/>
  <c r="C11" i="22"/>
  <c r="C6" i="22"/>
  <c r="C16" i="22"/>
  <c r="C2" i="22"/>
  <c r="C7" i="22"/>
  <c r="C17" i="22"/>
  <c r="C3" i="22"/>
  <c r="C14" i="22"/>
  <c r="C9" i="22"/>
  <c r="C8" i="22"/>
  <c r="C4" i="22"/>
  <c r="C13" i="22"/>
</calcChain>
</file>

<file path=xl/sharedStrings.xml><?xml version="1.0" encoding="utf-8"?>
<sst xmlns="http://schemas.openxmlformats.org/spreadsheetml/2006/main" count="838" uniqueCount="696">
  <si>
    <t>Catalyst 9407</t>
  </si>
  <si>
    <t>Hardware Specific Decisions</t>
  </si>
  <si>
    <t>mgig line cards go on slots 1 and 2</t>
  </si>
  <si>
    <t>All access points regardless of whether they are mgig capable or not connect to mgig ports on slots 1 and 2</t>
  </si>
  <si>
    <t>Supervisor goes into slot 3</t>
  </si>
  <si>
    <t>Slot 4 will stay empty since no line cards are supported other than supervisor in this slot</t>
  </si>
  <si>
    <t>Rest of the line cards will go on slots 5 to 7</t>
  </si>
  <si>
    <t>Configuration Specific Decisions</t>
  </si>
  <si>
    <t>MacSec will be implemented on all uplinks if both sides hardware and software support it. (distribution switch will be updated on the links to access switch). Pre-shared key wil be added to AMP.</t>
  </si>
  <si>
    <t>All access switches will have te3/0/1 and te3/0/5 as uplink ports</t>
  </si>
  <si>
    <t>Only SNMPv3 will be implemented</t>
  </si>
  <si>
    <t>DNS will be configured so that the smart license server name can be resolved. Using IP address will require touching all switches if the license server IP changes later.</t>
  </si>
  <si>
    <t>Index</t>
  </si>
  <si>
    <t>Sheet Name</t>
  </si>
  <si>
    <t>Hyperlink</t>
  </si>
  <si>
    <t>License Call Home Config</t>
  </si>
  <si>
    <t>MACSEC config(optional)</t>
  </si>
  <si>
    <t>Uplink Tagging</t>
  </si>
  <si>
    <t>SNMP Location</t>
  </si>
  <si>
    <t>no service pad</t>
  </si>
  <si>
    <t>service tcp-keepalives-in</t>
  </si>
  <si>
    <t>service tcp-keepalives-out</t>
  </si>
  <si>
    <t>service timestamps debug datetime msec</t>
  </si>
  <si>
    <t>service timestamps log datetime msec</t>
  </si>
  <si>
    <t>service password-encryption</t>
  </si>
  <si>
    <t>no service udp-small-servers</t>
  </si>
  <si>
    <t>no service tcp-small-servers</t>
  </si>
  <si>
    <t>no service finger</t>
  </si>
  <si>
    <t>no ip finger</t>
  </si>
  <si>
    <t>!</t>
  </si>
  <si>
    <t>no ip http server</t>
  </si>
  <si>
    <t>no ip http secure-server</t>
  </si>
  <si>
    <t>no ip source-route</t>
  </si>
  <si>
    <t>ip subnet-zero</t>
  </si>
  <si>
    <t>ip classless</t>
  </si>
  <si>
    <t>ip tcp path-mtu-discovery</t>
  </si>
  <si>
    <t>!Configure Hostname</t>
  </si>
  <si>
    <r>
      <t xml:space="preserve">hostname </t>
    </r>
    <r>
      <rPr>
        <b/>
        <sz val="11"/>
        <color rgb="FFFF0000"/>
        <rFont val="Arial"/>
        <family val="2"/>
      </rPr>
      <t>HOU150SLX</t>
    </r>
  </si>
  <si>
    <t>!Time Zone and Clock Settings</t>
  </si>
  <si>
    <t>No config needed to set it to UTC</t>
  </si>
  <si>
    <t>!Configure local account</t>
  </si>
  <si>
    <t>username admin secret &lt;login last resort password&gt;</t>
  </si>
  <si>
    <t>enable secret &lt;enable last resort password)</t>
  </si>
  <si>
    <t>!line console setting</t>
  </si>
  <si>
    <t>line con 0</t>
  </si>
  <si>
    <t xml:space="preserve"> timeout login response 15</t>
  </si>
  <si>
    <r>
      <t xml:space="preserve"> password </t>
    </r>
    <r>
      <rPr>
        <sz val="11"/>
        <color indexed="10"/>
        <rFont val="Arial"/>
        <family val="2"/>
      </rPr>
      <t>&lt;login last resort password&gt;</t>
    </r>
  </si>
  <si>
    <t xml:space="preserve"> transport preferred ssh</t>
  </si>
  <si>
    <t xml:space="preserve"> transport output none</t>
  </si>
  <si>
    <t>!Line aux setting</t>
  </si>
  <si>
    <t>line aux 0</t>
  </si>
  <si>
    <r>
      <t xml:space="preserve"> password </t>
    </r>
    <r>
      <rPr>
        <sz val="11"/>
        <color rgb="FFFF0000"/>
        <rFont val="Arial"/>
        <family val="2"/>
      </rPr>
      <t>&lt;login last resort password&gt;</t>
    </r>
  </si>
  <si>
    <t>!Banner</t>
  </si>
  <si>
    <t>banner login #</t>
  </si>
  <si>
    <t>****************************************************</t>
  </si>
  <si>
    <t>WARNING TO UNAUTHORIZED USERS:</t>
  </si>
  <si>
    <t>This system is for use by authorized users only.</t>
  </si>
  <si>
    <t>Any individual using this system, by such use,</t>
  </si>
  <si>
    <t>acknowledges and consents to the right of the</t>
  </si>
  <si>
    <t>company to monitor, access, use, and disclose any</t>
  </si>
  <si>
    <t>information generated, received, or stored on the</t>
  </si>
  <si>
    <t>systems, and waives any right of privacy or</t>
  </si>
  <si>
    <t>expectation of privacy on the part of that</t>
  </si>
  <si>
    <t>individual in connection with his or her use of</t>
  </si>
  <si>
    <t>this system. Unauthorized and/or improper use of</t>
  </si>
  <si>
    <t>this system, as delineated by corporate policies,</t>
  </si>
  <si>
    <t>is not tolerated and the company may take formal</t>
  </si>
  <si>
    <t>action against such individuals.</t>
  </si>
  <si>
    <t>#</t>
  </si>
  <si>
    <t>!Default Gateway Config</t>
  </si>
  <si>
    <r>
      <rPr>
        <sz val="11"/>
        <rFont val="Arial"/>
        <family val="2"/>
      </rPr>
      <t xml:space="preserve">ip default-gateway </t>
    </r>
    <r>
      <rPr>
        <b/>
        <sz val="11"/>
        <color rgb="FFFF0000"/>
        <rFont val="Arial"/>
        <family val="2"/>
      </rPr>
      <t>&lt;ip-address&gt;</t>
    </r>
  </si>
  <si>
    <t>no ip routing</t>
  </si>
  <si>
    <t>!Recover error disabled ports after a timer</t>
  </si>
  <si>
    <t>errdisable recovery cause all</t>
  </si>
  <si>
    <t>errdisable recovery cause bpduguard</t>
  </si>
  <si>
    <t>errdisable recovery cause link-flap</t>
  </si>
  <si>
    <t>errdisable recovery cause udld</t>
  </si>
  <si>
    <t>!redundancy config (even when there is no redundant supervisor)</t>
  </si>
  <si>
    <t>redundancy</t>
  </si>
  <si>
    <t>mode sso</t>
  </si>
  <si>
    <t>!Enable LLDP</t>
  </si>
  <si>
    <t>lldp run</t>
  </si>
  <si>
    <t>!power redundancy mode</t>
  </si>
  <si>
    <t>power redundancy-mode combined max inputs 2</t>
  </si>
  <si>
    <t>!Disable vstack</t>
  </si>
  <si>
    <t>no vstack</t>
  </si>
  <si>
    <t>Not needed if IOS verison is 16.6.2 or later</t>
  </si>
  <si>
    <t>!IOS image verificiation</t>
  </si>
  <si>
    <t>file verify auto</t>
  </si>
  <si>
    <t>!Enable Nagle Service</t>
  </si>
  <si>
    <t>service nagle</t>
  </si>
  <si>
    <t>!Disable aux port</t>
  </si>
  <si>
    <t>line aux</t>
  </si>
  <si>
    <t>no exec</t>
  </si>
  <si>
    <t>!Enable ip unreachable for Null0</t>
  </si>
  <si>
    <t>int Null0</t>
  </si>
  <si>
    <t>ip unreachables</t>
  </si>
  <si>
    <t>!VLAN Config</t>
  </si>
  <si>
    <t>vlan xxx</t>
  </si>
  <si>
    <t>name DATA</t>
  </si>
  <si>
    <t>name VOICE</t>
  </si>
  <si>
    <t>name SECURITY</t>
  </si>
  <si>
    <t>name CAMERAS</t>
  </si>
  <si>
    <t>vlan 888</t>
  </si>
  <si>
    <t>name NST.INTERNET.ACCESS</t>
  </si>
  <si>
    <t>vlan 999</t>
  </si>
  <si>
    <t>name DOT1Q.NATIVE</t>
  </si>
  <si>
    <t>!SVI Config</t>
  </si>
  <si>
    <r>
      <t>interface Vlan</t>
    </r>
    <r>
      <rPr>
        <b/>
        <sz val="11"/>
        <color rgb="FFFF0000"/>
        <rFont val="Calibri"/>
        <family val="2"/>
        <scheme val="minor"/>
      </rPr>
      <t>&lt;Data Vlan&gt;</t>
    </r>
  </si>
  <si>
    <r>
      <t xml:space="preserve"> ip address </t>
    </r>
    <r>
      <rPr>
        <b/>
        <sz val="11"/>
        <color rgb="FFFF0000"/>
        <rFont val="Calibri"/>
        <family val="2"/>
        <scheme val="minor"/>
      </rPr>
      <t>&lt;ip-address&gt; &lt;mask&gt;</t>
    </r>
  </si>
  <si>
    <t> no ip proxy-arp</t>
  </si>
  <si>
    <t xml:space="preserve"> load-interval 30</t>
  </si>
  <si>
    <t>!NTP Access List</t>
  </si>
  <si>
    <t>access-list 40</t>
  </si>
  <si>
    <t>access-list 40 permit 146.22.70.251</t>
  </si>
  <si>
    <t>access-list 40 permit 146.22.8.197</t>
  </si>
  <si>
    <t>access-list 40 permit 134.248.2.29</t>
  </si>
  <si>
    <t>access-list 40 deny   any log</t>
  </si>
  <si>
    <t>!NTP Config</t>
  </si>
  <si>
    <t>ntp access-group peer 40</t>
  </si>
  <si>
    <t>ntp server 146.22.70.251 prefer</t>
  </si>
  <si>
    <t>ntp server 146.22.8.197</t>
  </si>
  <si>
    <t>ntp server 134.248.2.29</t>
  </si>
  <si>
    <r>
      <t xml:space="preserve">ntp source vlan </t>
    </r>
    <r>
      <rPr>
        <b/>
        <sz val="11"/>
        <color rgb="FFFF0000"/>
        <rFont val="Arial"/>
        <family val="2"/>
      </rPr>
      <t>&lt;Data Vlan&gt;</t>
    </r>
  </si>
  <si>
    <t>!Spanning-tree config</t>
  </si>
  <si>
    <t>spanning-tree mode rapid-pvst</t>
  </si>
  <si>
    <t>spanning-tree portfast bpduguard default</t>
  </si>
  <si>
    <t>spanning-tree pathcost method long</t>
  </si>
  <si>
    <t>!DNS settings</t>
  </si>
  <si>
    <t>Houston DNS servers</t>
  </si>
  <si>
    <t>ip domain-lookup</t>
  </si>
  <si>
    <t>ip domain name HOU150.chevrontexaco.net</t>
  </si>
  <si>
    <t>ip name-server 146.36.82.34 146.36.80.34</t>
  </si>
  <si>
    <t>CHVPK DNS servers</t>
  </si>
  <si>
    <t>ip domain name chvpk.chevrontexaco.net</t>
  </si>
  <si>
    <t>ip name-server 146.27.66.35 146.27.66.36</t>
  </si>
  <si>
    <t>London DNS Servers</t>
  </si>
  <si>
    <t>ip domain name emea.chevrontexaco.net</t>
  </si>
  <si>
    <t>ip name-server 146.38.64.8 146.38.32.8 146.27.66.35</t>
  </si>
  <si>
    <t>Singapore DNS Servers</t>
  </si>
  <si>
    <t>ip domain name sgdc1.chevrontexaco.net</t>
  </si>
  <si>
    <t>ip name-server 146.40.4.34 146.45.8.34</t>
  </si>
  <si>
    <t>!Enable SSH (verify IOS image  supports ssh)</t>
  </si>
  <si>
    <t>!Verify domain name is already set</t>
  </si>
  <si>
    <t>crypto key generate rsa modulus 2048</t>
  </si>
  <si>
    <t>ip ssh version 2</t>
  </si>
  <si>
    <r>
      <t>ip ssh source-interface vlan</t>
    </r>
    <r>
      <rPr>
        <sz val="11"/>
        <color indexed="10"/>
        <rFont val="Arial"/>
        <family val="2"/>
      </rPr>
      <t xml:space="preserve"> </t>
    </r>
    <r>
      <rPr>
        <b/>
        <sz val="11"/>
        <color rgb="FFFF0000"/>
        <rFont val="Arial"/>
        <family val="2"/>
      </rPr>
      <t>&lt;Data VLAN or loopback or mgmt int&gt;</t>
    </r>
  </si>
  <si>
    <t>!VTP setup</t>
  </si>
  <si>
    <r>
      <t xml:space="preserve">vtp domain </t>
    </r>
    <r>
      <rPr>
        <b/>
        <sz val="11"/>
        <color rgb="FFFF0000"/>
        <rFont val="Arial"/>
        <family val="2"/>
      </rPr>
      <t>HOU150</t>
    </r>
  </si>
  <si>
    <t>or sitename</t>
  </si>
  <si>
    <t>vtp mode off</t>
  </si>
  <si>
    <t>!Access to Router (VTY Access List)</t>
  </si>
  <si>
    <t>access-list 20</t>
  </si>
  <si>
    <t>access-list 20 permit 10.0.0.0 0.63.255.255</t>
  </si>
  <si>
    <t>access-list 20 permit 10.128.0.0 0.7.255.255</t>
  </si>
  <si>
    <t>access-list 20 permit 10.254.0.0 0.0.255.255</t>
  </si>
  <si>
    <t>access-list 20 permit 146.22.0.0 0.1.255.255</t>
  </si>
  <si>
    <t>access-list 20 permit 146.24.0.0 0.7.255.255</t>
  </si>
  <si>
    <t>access-list 20 permit 146.32.0.0 0.7.255.255</t>
  </si>
  <si>
    <t>access-list 20 permit 146.40.0.0 0.3.255.255</t>
  </si>
  <si>
    <t>access-list 20 permit 146.44.0.0 0.1.255.255</t>
  </si>
  <si>
    <t>access-list 20 permit 146.46.0.0 0.0.255.255</t>
  </si>
  <si>
    <t>access-list 20 permit 136.171.0.0 0.0.255.255</t>
  </si>
  <si>
    <t>access-list 20 permit 139.65.0.0 0.0.255.255</t>
  </si>
  <si>
    <t>access-list 20 permit 134.248.0.0 0.0.255.255</t>
  </si>
  <si>
    <t>access-list 20 deny   any log</t>
  </si>
  <si>
    <t>!Vty config</t>
  </si>
  <si>
    <t>line vty 0 15</t>
  </si>
  <si>
    <t xml:space="preserve"> session-timeout 10 </t>
  </si>
  <si>
    <t xml:space="preserve"> access-class 20 in vrf-also</t>
  </si>
  <si>
    <r>
      <t xml:space="preserve"> </t>
    </r>
    <r>
      <rPr>
        <sz val="11"/>
        <rFont val="Arial"/>
        <family val="2"/>
      </rPr>
      <t>password</t>
    </r>
    <r>
      <rPr>
        <sz val="11"/>
        <color indexed="10"/>
        <rFont val="Arial"/>
        <family val="2"/>
      </rPr>
      <t xml:space="preserve"> xxxx</t>
    </r>
  </si>
  <si>
    <t xml:space="preserve"> transport input ssh</t>
  </si>
  <si>
    <t>!Syslog Config (Americas)</t>
  </si>
  <si>
    <t>logging trap informational</t>
  </si>
  <si>
    <t>logging history size 10</t>
  </si>
  <si>
    <t xml:space="preserve">logging host 146.36.114.214 </t>
  </si>
  <si>
    <t>HOU150 - Primary</t>
  </si>
  <si>
    <t>logging host 134.248.81.53</t>
  </si>
  <si>
    <t>SAN520 - Secondary</t>
  </si>
  <si>
    <t>logging buffered 128000</t>
  </si>
  <si>
    <r>
      <t xml:space="preserve">logging source-interface vlan </t>
    </r>
    <r>
      <rPr>
        <b/>
        <sz val="11"/>
        <color rgb="FFFF0000"/>
        <rFont val="Arial"/>
        <family val="2"/>
      </rPr>
      <t>&lt;Data Vlan or loopback or mgmt int&gt;</t>
    </r>
  </si>
  <si>
    <t>no logging console</t>
  </si>
  <si>
    <t>!Syslog Config (EMEA)</t>
  </si>
  <si>
    <t>logging host 146.38.53.162</t>
  </si>
  <si>
    <t>EMEA - Primary</t>
  </si>
  <si>
    <t>!Syslog Config (APAC)</t>
  </si>
  <si>
    <t xml:space="preserve">logging host 146.40.10.9 </t>
  </si>
  <si>
    <t>APAC - Primary</t>
  </si>
  <si>
    <t>EMEA - Secondary</t>
  </si>
  <si>
    <t>!tacacs server config (Americas)</t>
  </si>
  <si>
    <t>tacacs server HOU_ACS</t>
  </si>
  <si>
    <t xml:space="preserve">Step 1 - define server </t>
  </si>
  <si>
    <t xml:space="preserve"> address ipv4 139.65.136.58 </t>
  </si>
  <si>
    <t>HOIU150 ACS server</t>
  </si>
  <si>
    <r>
      <t xml:space="preserve"> key </t>
    </r>
    <r>
      <rPr>
        <b/>
        <sz val="11"/>
        <color rgb="FFFF0000"/>
        <rFont val="Arial"/>
        <family val="2"/>
      </rPr>
      <t>&lt;Shared Secret&gt;</t>
    </r>
  </si>
  <si>
    <t xml:space="preserve"> timeout 10</t>
  </si>
  <si>
    <t>tacacs server NADC_ACS</t>
  </si>
  <si>
    <t>Step 2 - define backup servers</t>
  </si>
  <si>
    <t xml:space="preserve"> address ipv4 139.65.137.60 </t>
  </si>
  <si>
    <t>NADC ACS Server as a backup</t>
  </si>
  <si>
    <t>aaa group server tacacs+ ACS</t>
  </si>
  <si>
    <t>Step 3 : Define group</t>
  </si>
  <si>
    <t xml:space="preserve"> server name HOU_ACS</t>
  </si>
  <si>
    <t xml:space="preserve"> server name NADC_ACS</t>
  </si>
  <si>
    <r>
      <t xml:space="preserve"> ip tacacs source-interface </t>
    </r>
    <r>
      <rPr>
        <b/>
        <sz val="11"/>
        <color rgb="FFFF0000"/>
        <rFont val="Arial"/>
        <family val="2"/>
      </rPr>
      <t>&lt;Data Vlan, lo0 or mgmt&gt;</t>
    </r>
  </si>
  <si>
    <t>!tacacs server config (EMEA)</t>
  </si>
  <si>
    <r>
      <t xml:space="preserve">ip tacacs source-interface </t>
    </r>
    <r>
      <rPr>
        <b/>
        <sz val="11"/>
        <color rgb="FFFF0000"/>
        <rFont val="Arial"/>
        <family val="2"/>
      </rPr>
      <t>&lt;Data Vlan, lo0 or mgmt&gt;</t>
    </r>
  </si>
  <si>
    <t>tacacs server LON_ACS</t>
  </si>
  <si>
    <t xml:space="preserve"> address ipv4 139.65.138.26</t>
  </si>
  <si>
    <t>London ACS Server</t>
  </si>
  <si>
    <t>HOIU150 ACS server as a backup</t>
  </si>
  <si>
    <t xml:space="preserve"> server name LON_ACS</t>
  </si>
  <si>
    <t>!tacacs server config (APAC)</t>
  </si>
  <si>
    <t>tacacs server SIN_ACS</t>
  </si>
  <si>
    <t xml:space="preserve"> address ipv4 139.65.139.143</t>
  </si>
  <si>
    <t>Singapore ACS Server</t>
  </si>
  <si>
    <t>tacacs server PERTH_ACS</t>
  </si>
  <si>
    <t xml:space="preserve"> address ipv4 146.45.1.85</t>
  </si>
  <si>
    <t>PERTH ACS server as a backup</t>
  </si>
  <si>
    <t xml:space="preserve"> server name SIN_ACS</t>
  </si>
  <si>
    <t xml:space="preserve"> server name PERTH_ACS</t>
  </si>
  <si>
    <t>!AAA config that allows local login (recommended during change window)</t>
  </si>
  <si>
    <t>Temporary step 4 duirng change window. Please addthe config below after testing.</t>
  </si>
  <si>
    <t>aaa authentication login default local line</t>
  </si>
  <si>
    <t>aaa authentication enable default enable</t>
  </si>
  <si>
    <t>aaa authorization config-commands</t>
  </si>
  <si>
    <t xml:space="preserve">aaa authorization exec default none </t>
  </si>
  <si>
    <t xml:space="preserve">aaa authorization commands 0 default none </t>
  </si>
  <si>
    <t xml:space="preserve">aaa authorization commands 1 default none </t>
  </si>
  <si>
    <t xml:space="preserve">aaa authorization commands 15 default none </t>
  </si>
  <si>
    <t>!AAA config that enables tacacs for authentication, authorization and accounting (after testing)</t>
  </si>
  <si>
    <t>recommended after all validation tests are done and only tacacs needs to be tested</t>
  </si>
  <si>
    <t>aaa authentication login default group ACS local</t>
  </si>
  <si>
    <t>Step 5 : Final config</t>
  </si>
  <si>
    <t>aaa authentication enable default group ACS enable</t>
  </si>
  <si>
    <t>aaa authorization exec default group ACS if-authenticated</t>
  </si>
  <si>
    <t xml:space="preserve">aaa authorization commands 0 default group ACS if-authenticated </t>
  </si>
  <si>
    <t xml:space="preserve">aaa authorization commands 1 default group ACS if-authenticated </t>
  </si>
  <si>
    <t xml:space="preserve">aaa authorization commands 15 default group ACS if-authenticated </t>
  </si>
  <si>
    <t xml:space="preserve">aaa authorization reverse-access default group ACS if-authenticated </t>
  </si>
  <si>
    <t>aaa accounting update newinfo</t>
  </si>
  <si>
    <t>aaa accounting exec default start-stop group ACS</t>
  </si>
  <si>
    <t>aaa accounting commands 0 default start-stop group ACS</t>
  </si>
  <si>
    <t>aaa accounting commands 1 default start-stop group ACS</t>
  </si>
  <si>
    <t>aaa accounting commands 15 default start-stop group ACS</t>
  </si>
  <si>
    <t>aaa accounting connection default start-stop group ACS</t>
  </si>
  <si>
    <t>aaa accounting system default start-stop group ACS</t>
  </si>
  <si>
    <t>aaa authorization network flexvpn local</t>
  </si>
  <si>
    <t>If you are uisng this for a RWAN or SemiT remote router, add this command.</t>
  </si>
  <si>
    <t>Adding this to other switches does not affect this even though it is not needed.</t>
  </si>
  <si>
    <t>!Dot1x Config</t>
  </si>
  <si>
    <t>aaa server radius dynamic-author</t>
  </si>
  <si>
    <t>Step 1</t>
  </si>
  <si>
    <t>radius server HOU_RadiusVIP</t>
  </si>
  <si>
    <t>Step 2</t>
  </si>
  <si>
    <t>address ipv4 136.171.184.185 auth-port 1812 acct-port 1813</t>
  </si>
  <si>
    <t>Change the order of radius server based on region. For EMEA switches, use London config first and move the HOU server next.</t>
  </si>
  <si>
    <r>
      <t xml:space="preserve">key </t>
    </r>
    <r>
      <rPr>
        <b/>
        <sz val="11"/>
        <color rgb="FFFF0000"/>
        <rFont val="Arial"/>
        <family val="2"/>
      </rPr>
      <t>&lt;Shared Secret&gt;</t>
    </r>
  </si>
  <si>
    <t xml:space="preserve">but all 3 configs are needed on all switches </t>
  </si>
  <si>
    <t>radius server LON_RadiusVIP</t>
  </si>
  <si>
    <t>address ipv4 146.38.86.26 auth-port 1812 acct-port 1813</t>
  </si>
  <si>
    <t>radius server SIN_RadiusVIP</t>
  </si>
  <si>
    <t>address ipv4 146.40.1.25 auth-port 1812 acct-port 1813</t>
  </si>
  <si>
    <t>aaa group server radius AAA</t>
  </si>
  <si>
    <t>Step 3</t>
  </si>
  <si>
    <t xml:space="preserve"> server name HOU_RadiusVIP</t>
  </si>
  <si>
    <t xml:space="preserve"> server name LON_RadiusVIP</t>
  </si>
  <si>
    <t xml:space="preserve"> server name SIN_RadiusVIP</t>
  </si>
  <si>
    <r>
      <t xml:space="preserve"> ip radius source-interface </t>
    </r>
    <r>
      <rPr>
        <b/>
        <sz val="11"/>
        <color rgb="FFFF0000"/>
        <rFont val="Arial"/>
        <family val="2"/>
      </rPr>
      <t>&lt;Data Vlan&gt;</t>
    </r>
  </si>
  <si>
    <t>radius-server dead-criteria time 5 tries 3</t>
  </si>
  <si>
    <t>Step 4</t>
  </si>
  <si>
    <t>radius-server timeout 60</t>
  </si>
  <si>
    <t>radius-server deadtime 480</t>
  </si>
  <si>
    <t>radius-server vsa send accounting</t>
  </si>
  <si>
    <t>radius-server vsa send authentication</t>
  </si>
  <si>
    <t>aaa new-model</t>
  </si>
  <si>
    <t>Step 5</t>
  </si>
  <si>
    <t>aaa session-id common</t>
  </si>
  <si>
    <t>device-sensor accounting</t>
  </si>
  <si>
    <t>device-sensor notify all-changes</t>
  </si>
  <si>
    <t>device-tracking upgrade-cli force</t>
  </si>
  <si>
    <t>device-tracking tracking retry-interval 10</t>
  </si>
  <si>
    <t>device-tracking tracking</t>
  </si>
  <si>
    <t xml:space="preserve">authentication mac-move permit </t>
  </si>
  <si>
    <t>Step 6</t>
  </si>
  <si>
    <t>dot1x system-auth-control</t>
  </si>
  <si>
    <t>Step 7</t>
  </si>
  <si>
    <t>dot1x critical eapol</t>
  </si>
  <si>
    <t>device-tracking policy sisf_policy</t>
  </si>
  <si>
    <t>Step 8</t>
  </si>
  <si>
    <t>tracking enable</t>
  </si>
  <si>
    <t>aaa authentication dot1x default group AAA</t>
  </si>
  <si>
    <t>Step 9</t>
  </si>
  <si>
    <t>aaa authorization network default group AAA</t>
  </si>
  <si>
    <t>aaa accounting network default start-stop group AAA</t>
  </si>
  <si>
    <t>aaa accounting dot1x default start-stop group AAA</t>
  </si>
  <si>
    <r>
      <t>interface Gi</t>
    </r>
    <r>
      <rPr>
        <b/>
        <sz val="11"/>
        <color rgb="FFFF0000"/>
        <rFont val="Arial"/>
        <family val="2"/>
      </rPr>
      <t>x/x/x</t>
    </r>
  </si>
  <si>
    <r>
      <t xml:space="preserve">switchport access vlan </t>
    </r>
    <r>
      <rPr>
        <b/>
        <sz val="11"/>
        <color rgb="FFFF0000"/>
        <rFont val="Arial"/>
        <family val="2"/>
      </rPr>
      <t>&lt;Data Vlan&gt;</t>
    </r>
  </si>
  <si>
    <t>switchport mode access</t>
  </si>
  <si>
    <r>
      <t xml:space="preserve">switchport voice vlan </t>
    </r>
    <r>
      <rPr>
        <b/>
        <sz val="11"/>
        <color rgb="FFFF0000"/>
        <rFont val="Arial"/>
        <family val="2"/>
      </rPr>
      <t>&lt;Voice Vlan&gt;</t>
    </r>
  </si>
  <si>
    <t>device-tracking attach-policy sisf_policy</t>
  </si>
  <si>
    <t>authentication control-direction in</t>
  </si>
  <si>
    <r>
      <t xml:space="preserve">authentication event server dead action authorize vlan </t>
    </r>
    <r>
      <rPr>
        <b/>
        <sz val="11"/>
        <color rgb="FFFF0000"/>
        <rFont val="Arial"/>
        <family val="2"/>
      </rPr>
      <t>&lt;Data Vlan&gt;</t>
    </r>
  </si>
  <si>
    <t>authentication event server dead action authorize voice</t>
  </si>
  <si>
    <t xml:space="preserve">authentication event server alive action reinitialize </t>
  </si>
  <si>
    <t>authentication host-mode multi-auth</t>
  </si>
  <si>
    <t>authentication order dot1x mab</t>
  </si>
  <si>
    <t>authentication priority dot1x mab</t>
  </si>
  <si>
    <t>authentication port-control auto</t>
  </si>
  <si>
    <t>authentication periodic</t>
  </si>
  <si>
    <t>authentication timer reauthenticate server</t>
  </si>
  <si>
    <t>dot1x timeout tx-period 1</t>
  </si>
  <si>
    <t>mab</t>
  </si>
  <si>
    <t>dot1x pae authenticator</t>
  </si>
  <si>
    <t>load-interval 30</t>
  </si>
  <si>
    <t>spanning-tree portfast</t>
  </si>
  <si>
    <t>for all access ports (edge)</t>
  </si>
  <si>
    <t>udld port</t>
  </si>
  <si>
    <t>for all copper ports (udld)</t>
  </si>
  <si>
    <t>no snmp trap link-status &lt;===  (turn off traps on user facing ports. Only leave it on for important links )</t>
  </si>
  <si>
    <t>no logging event link-status &lt;===  (turn off syslog messages on user facing ports. Only leave it on for important links )</t>
  </si>
  <si>
    <t xml:space="preserve">!Uplink Config </t>
  </si>
  <si>
    <t>Always use te3/0/1 and te3/0/5</t>
  </si>
  <si>
    <t>interface Port-channel1</t>
  </si>
  <si>
    <t xml:space="preserve"> description HOU150RL1-VSS - Uplink</t>
  </si>
  <si>
    <t xml:space="preserve"> switchport trunk encapsulation dot1q</t>
  </si>
  <si>
    <r>
      <t xml:space="preserve"> switchport trunk native vlan </t>
    </r>
    <r>
      <rPr>
        <b/>
        <sz val="11"/>
        <color rgb="FFFF0000"/>
        <rFont val="Calibri"/>
        <family val="2"/>
        <scheme val="minor"/>
      </rPr>
      <t>&lt;Dot1q Native Vlan&gt;</t>
    </r>
  </si>
  <si>
    <r>
      <t xml:space="preserve"> switchport trunk allowed vlan </t>
    </r>
    <r>
      <rPr>
        <b/>
        <sz val="11"/>
        <color rgb="FFFF0000"/>
        <rFont val="Calibri"/>
        <family val="2"/>
        <scheme val="minor"/>
      </rPr>
      <t>&lt;List of Vlans&gt;</t>
    </r>
  </si>
  <si>
    <t>switchport nonegotiate</t>
  </si>
  <si>
    <t> switchport mode trunk</t>
  </si>
  <si>
    <t>logging event link-status</t>
  </si>
  <si>
    <t>!Uplink Config</t>
  </si>
  <si>
    <r>
      <t xml:space="preserve">interface </t>
    </r>
    <r>
      <rPr>
        <b/>
        <sz val="11"/>
        <color theme="1"/>
        <rFont val="Calibri"/>
        <family val="2"/>
        <scheme val="minor"/>
      </rPr>
      <t>Te3/0/1</t>
    </r>
  </si>
  <si>
    <t xml:space="preserve"> description HOU150RL1-VSS Gix/x/x - Uplink</t>
  </si>
  <si>
    <t xml:space="preserve"> switchport mode trunk</t>
  </si>
  <si>
    <t xml:space="preserve"> udld port</t>
  </si>
  <si>
    <t xml:space="preserve"> spanning-tree portfast disable</t>
  </si>
  <si>
    <t xml:space="preserve"> spanning-tree link-type point-to-point</t>
  </si>
  <si>
    <t xml:space="preserve"> channel-group 1 mode active</t>
  </si>
  <si>
    <t>service-policy output LANQOS-OUT</t>
  </si>
  <si>
    <t>This line should only be applied on the physical members of the port channel and not on the port channel itself</t>
  </si>
  <si>
    <t>interface Te3/0/5</t>
  </si>
  <si>
    <t>This should only be applied on the physical members of the port channel and not on the port channel itself</t>
  </si>
  <si>
    <t>!SNMP Information</t>
  </si>
  <si>
    <t>snmp-server source-interface vlan3218</t>
  </si>
  <si>
    <t>mgmt interface, loopback0 etc</t>
  </si>
  <si>
    <t>snmp-server location HOU150: / 1500 Lousiana Street  / Houston,TX  / USA  / Americas  / .dHub Datacenter - US</t>
  </si>
  <si>
    <t>Example : HOU150 / 1500 Louisiana St, Houston, Texas &lt;Room No&gt; / USA / Americas /US-NA-Utility-Campus-Metro/Criticality-Medium</t>
  </si>
  <si>
    <t>snmp-server contact NOC: +1 713-754-4662 or CTN 842-3311 // GlobalNetOps1@chevron.com</t>
  </si>
  <si>
    <t>!Please follow the order for SNMP configuration</t>
  </si>
  <si>
    <t>!SNMPv3 traps are not getting genrated if this order is not followed</t>
  </si>
  <si>
    <r>
      <t xml:space="preserve">!SNMPv3 users for the group </t>
    </r>
    <r>
      <rPr>
        <b/>
        <sz val="11"/>
        <color rgb="FFFF0000"/>
        <rFont val="Arial"/>
        <family val="2"/>
      </rPr>
      <t>(Do not edit to add any passwords in this sheet)</t>
    </r>
  </si>
  <si>
    <t>snmp-server user CVX CVX-NMS v3 auth sha &lt;auth-password&gt; priv aes 128 &lt;priv-password&gt;</t>
  </si>
  <si>
    <r>
      <t xml:space="preserve">Get the latest SNMP password for CVX from AMP; </t>
    </r>
    <r>
      <rPr>
        <b/>
        <sz val="11"/>
        <color rgb="FFFF0000"/>
        <rFont val="Arial"/>
        <family val="2"/>
      </rPr>
      <t>please do not edit the spreadsheet to add the passwords</t>
    </r>
  </si>
  <si>
    <t>snmp-server user CVX2 CVX-NMS v3 auth sha &lt;auth-password&gt; priv aes 128 &lt;priv-password&gt;</t>
  </si>
  <si>
    <t>Get the latest SNMP password for CVX2 from AMP</t>
  </si>
  <si>
    <t>!SNMPv3 Group for the Views</t>
  </si>
  <si>
    <t>snmp-server group CVX-NMS v3 priv read V3Read write V3Write access cvx-snmpv3-acl</t>
  </si>
  <si>
    <t>!SNMPv3 Views</t>
  </si>
  <si>
    <t>snmp-server view V3Read iso included</t>
  </si>
  <si>
    <t>snmp-server view V3Write iso included</t>
  </si>
  <si>
    <t>snmp-server view V3Notify iso included</t>
  </si>
  <si>
    <t>!SNMPv3 ACL</t>
  </si>
  <si>
    <t>ip access-list standard cvx-snmpv3-acl</t>
  </si>
  <si>
    <t>permit 146.22.71.201</t>
  </si>
  <si>
    <t>permit 146.40.3.35</t>
  </si>
  <si>
    <t>permit 146.42.255.132</t>
  </si>
  <si>
    <t>permit 146.42.69.246</t>
  </si>
  <si>
    <t>permit 146.35.147.59</t>
  </si>
  <si>
    <t>permit 146.40.2.12</t>
  </si>
  <si>
    <t>permit 146.40.2.7</t>
  </si>
  <si>
    <t>permit 146.40.3.120</t>
  </si>
  <si>
    <t>permit 146.40.3.119</t>
  </si>
  <si>
    <t>permit 139.65.136.0 0.0.3.255</t>
  </si>
  <si>
    <t>permit 139.65.140.0 0.0.3.255</t>
  </si>
  <si>
    <t>deny   any log</t>
  </si>
  <si>
    <t>!SNMP Trap Configs</t>
  </si>
  <si>
    <t>snmp-server trap link ietf</t>
  </si>
  <si>
    <t>snmp-server trap-source  vlan3218</t>
  </si>
  <si>
    <t>snmp-server enable traps snmp linkdown linkup coldstart warmstart</t>
  </si>
  <si>
    <t>snmp-server enable traps license</t>
  </si>
  <si>
    <t>snmp-server enable traps entity</t>
  </si>
  <si>
    <t>snmp-server enable traps envmon fan shutdown supply temperature status</t>
  </si>
  <si>
    <t>snmp-server enable traps config</t>
  </si>
  <si>
    <t xml:space="preserve">no snmp trap link-status </t>
  </si>
  <si>
    <t>&lt;===  (turn off traps on user facing ports. Only leave it on for important links )</t>
  </si>
  <si>
    <t>snmp-server enable traps memory</t>
  </si>
  <si>
    <t>snmp ifmib ifindex persist</t>
  </si>
  <si>
    <t>!US SNMP servers</t>
  </si>
  <si>
    <t>only applies to Americas</t>
  </si>
  <si>
    <t>snmp-server host 139.65.137.144 traps version 3 auth CVX config</t>
  </si>
  <si>
    <t>NADC Voyence</t>
  </si>
  <si>
    <t>snmp-server host 146.22.71.201 traps version 3 auth CVX config</t>
  </si>
  <si>
    <t>HOU voyence</t>
  </si>
  <si>
    <t>snmp-server host 139.65.136.41 traps version 3 auth CVX</t>
  </si>
  <si>
    <t>specturm for all traps</t>
  </si>
  <si>
    <t>snmp-server host 139.65.136.12 traps version 3 auth CVX</t>
  </si>
  <si>
    <t>solarwinds US for all traps</t>
  </si>
  <si>
    <t>snmp-server host 139.65.137.144 traps version 3 auth CVX2 config</t>
  </si>
  <si>
    <t>snmp-server host 146.22.71.201 traps version 3 auth CVX2 config</t>
  </si>
  <si>
    <t>snmp-server host 139.65.136.41 traps version 3 auth CVX2</t>
  </si>
  <si>
    <t>specturm  for all traps</t>
  </si>
  <si>
    <t>snmp-server host 139.65.136.12 traps version 3 auth CVX2</t>
  </si>
  <si>
    <t>!EMEA SNMP servers</t>
  </si>
  <si>
    <t>only applices to EU/Africa</t>
  </si>
  <si>
    <t>snmp-server host 139.65.138.13 traps version 3 auth CVX config</t>
  </si>
  <si>
    <t>EMEA Voyence</t>
  </si>
  <si>
    <t>snmp-server host 146.40.3.35 traps version 3 auth CVX config</t>
  </si>
  <si>
    <t>SGDC Voyence</t>
  </si>
  <si>
    <t>Specturm for all traps</t>
  </si>
  <si>
    <t>snmp-server host 139.65.138.9 traps version 3 auth CVX</t>
  </si>
  <si>
    <t>SolarWinds EMEA</t>
  </si>
  <si>
    <t>snmp-server host 139.65.138.13 traps version 3 auth CVX2 config</t>
  </si>
  <si>
    <t>snmp-server host 146.40.3.35 traps version 3 auth CVX2 config</t>
  </si>
  <si>
    <t>snmp-server host 139.65.138.9 traps version 3 auth CVX2</t>
  </si>
  <si>
    <t>!APAC SNMP servers</t>
  </si>
  <si>
    <t>only applies to APAC</t>
  </si>
  <si>
    <t>snmp-server host 146.40.2.7 traps version 3 auth CVX</t>
  </si>
  <si>
    <t>SolarWinds APAC</t>
  </si>
  <si>
    <t>snmp-server host 146.40.2.7 traps version 3 auth CVX2</t>
  </si>
  <si>
    <t xml:space="preserve">!QoS Config </t>
  </si>
  <si>
    <t>Notes</t>
  </si>
  <si>
    <t>qos queue-softmax-multiplier 1200</t>
  </si>
  <si>
    <t>Increase the buffer size using global command. Very important line</t>
  </si>
  <si>
    <t>!QoS Interesting Traffic</t>
  </si>
  <si>
    <t>ip access-list extended MARK-DSCP-EF</t>
  </si>
  <si>
    <t xml:space="preserve"> remark * * * Mark LAN received traffic to DSCP EF (real-time) * * *</t>
  </si>
  <si>
    <t xml:space="preserve"> permit ip any any dscp ef</t>
  </si>
  <si>
    <t xml:space="preserve"> permit udp any range 16384 32767 any dscp ef</t>
  </si>
  <si>
    <t xml:space="preserve"> permit udp any any range 16384 32767 dscp ef</t>
  </si>
  <si>
    <t xml:space="preserve"> permit udp any range 16384 32767 any precedence 5</t>
  </si>
  <si>
    <t xml:space="preserve"> permit udp any any range 16384 32767 precedence 5</t>
  </si>
  <si>
    <t>ip access-list extended MARK-DSCP-CS3-CS6-AF3x</t>
  </si>
  <si>
    <t xml:space="preserve"> remark * * * Mark LAN received traffic to DSCP AF31 (call signalling) * * *</t>
  </si>
  <si>
    <t xml:space="preserve"> permit ip any any dscp cs3</t>
  </si>
  <si>
    <t xml:space="preserve"> permit ip any any dscp cs6</t>
  </si>
  <si>
    <t xml:space="preserve"> permit ip any any dscp af31</t>
  </si>
  <si>
    <t xml:space="preserve"> permit ip any any dscp af32</t>
  </si>
  <si>
    <t xml:space="preserve"> permit ip any any dscp af33</t>
  </si>
  <si>
    <t xml:space="preserve"> permit tcp any any range 2000 2002 </t>
  </si>
  <si>
    <t xml:space="preserve"> permit tcp any range 2000 2002 any</t>
  </si>
  <si>
    <t xml:space="preserve"> permit tcp any any range 11000 11999 </t>
  </si>
  <si>
    <t xml:space="preserve"> permit tcp any range 11000 11999 any</t>
  </si>
  <si>
    <t xml:space="preserve"> remark H323-H225</t>
  </si>
  <si>
    <t xml:space="preserve"> permit udp any any eq 1719</t>
  </si>
  <si>
    <t xml:space="preserve"> permit udp any eq 1719 any</t>
  </si>
  <si>
    <t xml:space="preserve"> permit tcp any any range 1718 1720 </t>
  </si>
  <si>
    <t xml:space="preserve"> permit tcp any range 1718 1720 any</t>
  </si>
  <si>
    <t xml:space="preserve"> remark MGCP</t>
  </si>
  <si>
    <t xml:space="preserve"> permit udp any any eq 2427 </t>
  </si>
  <si>
    <t xml:space="preserve"> permit udp any eq 2427 any</t>
  </si>
  <si>
    <t xml:space="preserve"> permit tcp any any eq 2428 </t>
  </si>
  <si>
    <t xml:space="preserve"> permit tcp any eq 2428 any</t>
  </si>
  <si>
    <t xml:space="preserve"> remark SIP</t>
  </si>
  <si>
    <t xml:space="preserve"> permit tcp any any range 5060 5061</t>
  </si>
  <si>
    <t xml:space="preserve"> permit udp any any range 5060 5061</t>
  </si>
  <si>
    <t xml:space="preserve"> permit tcp any range 5060 5061 any</t>
  </si>
  <si>
    <t xml:space="preserve"> permit udp any range 5060 5061 any</t>
  </si>
  <si>
    <t xml:space="preserve"> remark H.245 for Cisco-Tandberg video</t>
  </si>
  <si>
    <t xml:space="preserve"> permit tcp any range 5556 5574 any range 5555 5565</t>
  </si>
  <si>
    <t xml:space="preserve"> permit tcp any range 5555 5565 any range 5556 5574</t>
  </si>
  <si>
    <t xml:space="preserve"> remark BGP</t>
  </si>
  <si>
    <t xml:space="preserve"> permit tcp any any eq 179</t>
  </si>
  <si>
    <t xml:space="preserve"> permit tcp any eq 179 any</t>
  </si>
  <si>
    <t xml:space="preserve">! </t>
  </si>
  <si>
    <t>ip access-list extended MARK-DSCP-AF4x</t>
  </si>
  <si>
    <t xml:space="preserve">  remark * * * Mark LAN received traffic to DSCP AF41 (video traffic) * * * </t>
  </si>
  <si>
    <t xml:space="preserve">  remark * * * Match Tandberg MXP/C-Series Endpoint UDP ports for H.323</t>
  </si>
  <si>
    <t xml:space="preserve"> permit ip any any dscp af41</t>
  </si>
  <si>
    <t xml:space="preserve"> permit ip any any dscp af42</t>
  </si>
  <si>
    <t xml:space="preserve"> permit ip any any dscp af43</t>
  </si>
  <si>
    <t xml:space="preserve">  permit udp any range 2326 2487 any range 2326 2487 dscp af41</t>
  </si>
  <si>
    <t xml:space="preserve">  remark * * * Match Tandberg Codian MCU UDP ports</t>
  </si>
  <si>
    <t xml:space="preserve">  remark Video Subnets in San Ramon for Codian MCU UDP Ports</t>
  </si>
  <si>
    <t xml:space="preserve">  permit udp any 146.27.172.0 0.0.0.31 range 49152 65535</t>
  </si>
  <si>
    <t xml:space="preserve">  permit udp 146.27.172.0 0.0.0.31 range 49152 65535 any</t>
  </si>
  <si>
    <t xml:space="preserve">  remark Video Subnets in Houston for Codian MCU UDP Ports</t>
  </si>
  <si>
    <t xml:space="preserve">  permit udp any 146.36.83.0 0.0.0.31 range 49152 65535</t>
  </si>
  <si>
    <t xml:space="preserve">  permit udp 146.36.83.0 0.0.0.31 range 49152 65535 any</t>
  </si>
  <si>
    <t xml:space="preserve">  remark Video Subnets in LONPWG for Codian MCU UDP Ports</t>
  </si>
  <si>
    <t xml:space="preserve">  permit udp any 146.38.58.0 0.0.0.31 range 49152 65535</t>
  </si>
  <si>
    <t xml:space="preserve">  permit udp 146.38.58.0 0.0.0.31 range 49152 65535 any</t>
  </si>
  <si>
    <t xml:space="preserve">  remark Video Subnets in SGDC1 for Codian MCU UDP Ports</t>
  </si>
  <si>
    <t xml:space="preserve">  permit udp any 146.40.10.128 0.0.0.31 range 49152 65535</t>
  </si>
  <si>
    <t xml:space="preserve">  permit udp 146.40.10.128 0.0.0.31 range 49152 65535 any</t>
  </si>
  <si>
    <t xml:space="preserve">  remark Video Subnets in San Ramon for MPS MCU UDP Ports</t>
  </si>
  <si>
    <t xml:space="preserve">  permit udp any 146.27.70.0 0.0.0.63 range 2326 6951</t>
  </si>
  <si>
    <t xml:space="preserve">  permit udp 146.27.70.0 0.0.0.63 range 2326 6951  any</t>
  </si>
  <si>
    <t>ip access-list extended MARK-DSCP-AF2x-AND-LOCAL</t>
  </si>
  <si>
    <t xml:space="preserve"> remark * * * Mark LAN received traffic to DSCP AF21 (transactional traffic) * * *</t>
  </si>
  <si>
    <t xml:space="preserve"> remark * * * Well-known Ports * * *</t>
  </si>
  <si>
    <t xml:space="preserve"> permit ip any any dscp af21</t>
  </si>
  <si>
    <t xml:space="preserve"> permit ip any any dscp af22</t>
  </si>
  <si>
    <t xml:space="preserve"> permit ip any any dscp af23</t>
  </si>
  <si>
    <t xml:space="preserve"> remark DNS</t>
  </si>
  <si>
    <t xml:space="preserve"> permit udp any eq 53 any</t>
  </si>
  <si>
    <t xml:space="preserve"> permit udp any any eq 53</t>
  </si>
  <si>
    <t xml:space="preserve"> remark BOOTP (DHCP)</t>
  </si>
  <si>
    <t xml:space="preserve"> permit udp any eq bootpc any</t>
  </si>
  <si>
    <t xml:space="preserve"> permit udp any eq bootps any</t>
  </si>
  <si>
    <t xml:space="preserve"> permit udp any any eq bootpc</t>
  </si>
  <si>
    <t xml:space="preserve"> permit udp any any eq bootps</t>
  </si>
  <si>
    <t xml:space="preserve"> remark SSH &amp; Telnet</t>
  </si>
  <si>
    <t xml:space="preserve"> permit tcp any range 22 23 any</t>
  </si>
  <si>
    <t xml:space="preserve"> remark Kerberos</t>
  </si>
  <si>
    <t xml:space="preserve"> permit udp any eq 88 any</t>
  </si>
  <si>
    <t xml:space="preserve"> permit udp any any eq 88</t>
  </si>
  <si>
    <t xml:space="preserve"> permit tcp any eq 88 any</t>
  </si>
  <si>
    <t xml:space="preserve"> permit tcp any any eq 88</t>
  </si>
  <si>
    <t xml:space="preserve"> remark Netbios name lookups</t>
  </si>
  <si>
    <t xml:space="preserve"> permit udp any eq 137 any</t>
  </si>
  <si>
    <t xml:space="preserve"> permit udp any any eq 137</t>
  </si>
  <si>
    <t xml:space="preserve"> remark Citrix &amp; RDP</t>
  </si>
  <si>
    <t xml:space="preserve"> permit tcp any eq 1494 any</t>
  </si>
  <si>
    <t xml:space="preserve"> permit tcp any any eq 1494</t>
  </si>
  <si>
    <t xml:space="preserve"> permit tcp any eq 3389 any</t>
  </si>
  <si>
    <t xml:space="preserve"> permit tcp any any eq 3389</t>
  </si>
  <si>
    <t xml:space="preserve"> remark TFTP</t>
  </si>
  <si>
    <t xml:space="preserve"> permit udp any any eq tftp</t>
  </si>
  <si>
    <t xml:space="preserve"> permit udp any eq tftp any</t>
  </si>
  <si>
    <t xml:space="preserve"> remark TACACS &amp; RADIUS</t>
  </si>
  <si>
    <t xml:space="preserve"> permit tcp any eq TACACS any</t>
  </si>
  <si>
    <t xml:space="preserve"> permit tcp any any eq TACACS</t>
  </si>
  <si>
    <t xml:space="preserve"> permit tcp any range 1812 1813 any</t>
  </si>
  <si>
    <t xml:space="preserve"> permit tcp any any range 1812 1813</t>
  </si>
  <si>
    <t xml:space="preserve"> remark SQL</t>
  </si>
  <si>
    <t xml:space="preserve"> permit tcp any any range 1521 1522</t>
  </si>
  <si>
    <t xml:space="preserve"> permit tcp any range 1521 1522 any</t>
  </si>
  <si>
    <t xml:space="preserve"> permit tcp any any eq 1433</t>
  </si>
  <si>
    <t xml:space="preserve"> permit tcp any eq 1433 any</t>
  </si>
  <si>
    <t xml:space="preserve"> permit udp any any eq 1434</t>
  </si>
  <si>
    <t xml:space="preserve"> permit udp any eq 1434 any</t>
  </si>
  <si>
    <t xml:space="preserve"> remark * * * Chevron High Priority Apps * * *</t>
  </si>
  <si>
    <t xml:space="preserve"> remark JDE Subnet in San Ramon</t>
  </si>
  <si>
    <t xml:space="preserve"> permit ip any 146.27.68.0 0.0.0.255 </t>
  </si>
  <si>
    <t xml:space="preserve"> permit ip 146.27.68.0 0.0.0.255 any </t>
  </si>
  <si>
    <t xml:space="preserve"> remark SAP Subnets in San Ramon</t>
  </si>
  <si>
    <t xml:space="preserve"> permit tcp any 146.27.78.0 0.0.1.255 range 3200 3800</t>
  </si>
  <si>
    <t xml:space="preserve"> permit tcp 146.27.78.0 0.0.1.255 range 3200 3800 any</t>
  </si>
  <si>
    <t xml:space="preserve"> remark eprocurement.chevron.com</t>
  </si>
  <si>
    <t xml:space="preserve"> permit ip any host 146.23.4.51</t>
  </si>
  <si>
    <t xml:space="preserve"> permit ip host 146.23.4.51 any</t>
  </si>
  <si>
    <t xml:space="preserve"> remark sourcing.chevron.com</t>
  </si>
  <si>
    <t xml:space="preserve"> permit ip any host 146.23.4.74</t>
  </si>
  <si>
    <t xml:space="preserve"> permit ip host 146.23.4.74 any</t>
  </si>
  <si>
    <t xml:space="preserve"> remark eProcurement Buyer (San Ramon)</t>
  </si>
  <si>
    <t xml:space="preserve"> permit ip any host 146.27.126.40</t>
  </si>
  <si>
    <t xml:space="preserve"> permit ip host 146.27.126.40 any</t>
  </si>
  <si>
    <t xml:space="preserve"> remark eProcurement Buyer (Houston)</t>
  </si>
  <si>
    <t xml:space="preserve"> permit ip any host 144.5.224.25</t>
  </si>
  <si>
    <t xml:space="preserve"> permit ip host 144.5.224.25 any</t>
  </si>
  <si>
    <t xml:space="preserve"> remark * * * Local admins can mark custom traffic to DSCP AF21 (high traffic) * * *</t>
  </si>
  <si>
    <t xml:space="preserve"> remark * * * by adding to this access-list. BUT BE CAREFUL!!! Do not delete these lines !!! * * *</t>
  </si>
  <si>
    <t xml:space="preserve"> remark GARS Subnet in San Ramon</t>
  </si>
  <si>
    <t xml:space="preserve"> permit ip any 146.27.166.0 0.0.0.255</t>
  </si>
  <si>
    <t xml:space="preserve"> permit ip 146.27.166.0 0.0.0.255 any</t>
  </si>
  <si>
    <t xml:space="preserve"> permit ip host 146.27.61.225 any</t>
  </si>
  <si>
    <t xml:space="preserve"> permit ip any host 146.27.61.225</t>
  </si>
  <si>
    <t xml:space="preserve"> remark * * * Chevron Visitor Management * * * </t>
  </si>
  <si>
    <t xml:space="preserve"> permit ip any host 146.40.4.91</t>
  </si>
  <si>
    <t xml:space="preserve"> permit udp any any range 16384 32767 precedence critical</t>
  </si>
  <si>
    <t xml:space="preserve"> permit ip any 146.40.224.192 0.0.0.31</t>
  </si>
  <si>
    <t xml:space="preserve"> permit ip 146.40.224.192 0.0.0.31 any</t>
  </si>
  <si>
    <t xml:space="preserve"> permit ip host 146.40.4.91 any</t>
  </si>
  <si>
    <t xml:space="preserve"> remark Added JDE Subnet in San Ramon</t>
  </si>
  <si>
    <t xml:space="preserve"> permit ip any 146.27.61.0 0.0.0.255</t>
  </si>
  <si>
    <t xml:space="preserve"> permit ip 146.27.61.0 0.0.0.255 any</t>
  </si>
  <si>
    <t>ip access-list extended MARK-DSCP-AF1x-AND-LOCAL</t>
  </si>
  <si>
    <t xml:space="preserve"> remark * * * Mark LAN received traffic to DSCP AF11 (bulk traffic) * * *</t>
  </si>
  <si>
    <t xml:space="preserve"> permit ip any any dscp af11</t>
  </si>
  <si>
    <t xml:space="preserve"> permit ip any any dscp af12</t>
  </si>
  <si>
    <t xml:space="preserve"> permit ip any any dscp af13</t>
  </si>
  <si>
    <t xml:space="preserve"> permit tcp any any eq SMTP </t>
  </si>
  <si>
    <t xml:space="preserve"> permit tcp any eq SMTP any</t>
  </si>
  <si>
    <t xml:space="preserve"> permit tcp any any eq 8080</t>
  </si>
  <si>
    <t xml:space="preserve"> permit tcp any eq 8080 any</t>
  </si>
  <si>
    <t xml:space="preserve"> permit tcp any any range 10565 10566</t>
  </si>
  <si>
    <t xml:space="preserve"> permit tcp any range 10565 10566 any</t>
  </si>
  <si>
    <t xml:space="preserve"> remark CISCO-JABBER-RTP</t>
  </si>
  <si>
    <t xml:space="preserve"> permit udp any any range 16384 32767</t>
  </si>
  <si>
    <t xml:space="preserve"> remark MICROSOFT-LYNC</t>
  </si>
  <si>
    <t xml:space="preserve"> permit tcp any any range 50000 59999</t>
  </si>
  <si>
    <t xml:space="preserve"> remark * * * Local admins can mark custom traffic to DSCP AF11 (bulk traffic) * * *</t>
  </si>
  <si>
    <t xml:space="preserve"> remark * * * by adding to this access-list. Do not delete these lines !!! * * *</t>
  </si>
  <si>
    <t>!QoS Class Maps</t>
  </si>
  <si>
    <t>class-map match-any LAN-MARK-EF</t>
  </si>
  <si>
    <t xml:space="preserve"> match access-group name MARK-DSCP-EF </t>
  </si>
  <si>
    <t>class-map match-any LAN-MARK-AF4</t>
  </si>
  <si>
    <t xml:space="preserve"> match access-group name MARK-DSCP-AF4x</t>
  </si>
  <si>
    <t>class-map match-any LAN-MARK-CS3</t>
  </si>
  <si>
    <t xml:space="preserve"> match access-group name MARK-DSCP-CS3-CS6-AF3x</t>
  </si>
  <si>
    <t>class-map match-any LAN-MARK-AF2</t>
  </si>
  <si>
    <t xml:space="preserve"> match access-group name MARK-DSCP-AF2x-AND-LOCAL</t>
  </si>
  <si>
    <t>class-map match-any LAN-MARK-AF1</t>
  </si>
  <si>
    <t xml:space="preserve"> match access-group name MARK-DSCP-AF1x-AND-LOCAL</t>
  </si>
  <si>
    <t>class-map match-any DSCP-EF-AF4</t>
  </si>
  <si>
    <t xml:space="preserve">  match dscp ef </t>
  </si>
  <si>
    <t xml:space="preserve">  match dscp af41 af42 af43 </t>
  </si>
  <si>
    <t xml:space="preserve">class-map match-any DSCP-CS3-AF3 </t>
  </si>
  <si>
    <t xml:space="preserve">  match dscp cs3 </t>
  </si>
  <si>
    <t xml:space="preserve">  match dscp cs6</t>
  </si>
  <si>
    <t xml:space="preserve">  match dscp af31 af32 af33 </t>
  </si>
  <si>
    <t xml:space="preserve">class-map match-any DSCP-AF2 </t>
  </si>
  <si>
    <t xml:space="preserve">  match dscp af21 af22 af23 </t>
  </si>
  <si>
    <t xml:space="preserve">class-map match-any DSCP-AF1 </t>
  </si>
  <si>
    <t xml:space="preserve">  match dscp af11 af12 af13 </t>
  </si>
  <si>
    <t>!QoS Standard Policies</t>
  </si>
  <si>
    <t>policy-map LANQOS-OUT</t>
  </si>
  <si>
    <t xml:space="preserve"> class DSCP-EF-AF4</t>
  </si>
  <si>
    <t xml:space="preserve">  priority level 1</t>
  </si>
  <si>
    <t xml:space="preserve"> class DSCP-CS3-AF3</t>
  </si>
  <si>
    <t xml:space="preserve">  bandwidth remaining percent 5 </t>
  </si>
  <si>
    <t xml:space="preserve"> class DSCP-AF2</t>
  </si>
  <si>
    <t xml:space="preserve">  bandwidth remaining percent 25 </t>
  </si>
  <si>
    <t xml:space="preserve"> class class-default</t>
  </si>
  <si>
    <t xml:space="preserve">  bandwidth remaining percent 45 </t>
  </si>
  <si>
    <t xml:space="preserve">  queue-buffers ratio 61</t>
  </si>
  <si>
    <t>Assigns 61% of all buffers to this class</t>
  </si>
  <si>
    <t xml:space="preserve">policy-map SETDSCP </t>
  </si>
  <si>
    <t>!Policy map marks traffic being received by the LAN interface</t>
  </si>
  <si>
    <t xml:space="preserve"> class LAN-MARK-EF</t>
  </si>
  <si>
    <t xml:space="preserve">  set dscp ef </t>
  </si>
  <si>
    <t xml:space="preserve"> class LAN-MARK-AF4 </t>
  </si>
  <si>
    <t xml:space="preserve">  set dscp af41 </t>
  </si>
  <si>
    <t xml:space="preserve"> class LAN-MARK-CS3</t>
  </si>
  <si>
    <t xml:space="preserve">  set dscp cs3</t>
  </si>
  <si>
    <t xml:space="preserve"> class LAN-MARK-AF2 </t>
  </si>
  <si>
    <t xml:space="preserve">  set dscp af21 </t>
  </si>
  <si>
    <t xml:space="preserve"> class LAN-MARK-AF1 </t>
  </si>
  <si>
    <t xml:space="preserve">  set dscp af11 </t>
  </si>
  <si>
    <t xml:space="preserve"> class class-default </t>
  </si>
  <si>
    <t xml:space="preserve">  set dscp 0</t>
  </si>
  <si>
    <t>! Interface Configuration, Connecting end host, Default trust state</t>
  </si>
  <si>
    <t>interface ex/x</t>
  </si>
  <si>
    <t>service-policy input SETDSCP</t>
  </si>
  <si>
    <t>! Interface Configuration, Trunks, uplinks - Distribution Switch</t>
  </si>
  <si>
    <t>interface x/x</t>
  </si>
  <si>
    <t>N.B. For port-channel, above settings must be applied only on the physical interfaces and not on the logical portchannel interface</t>
  </si>
  <si>
    <t>!Smart Call home for license</t>
  </si>
  <si>
    <t>service call-home</t>
  </si>
  <si>
    <t>call-home</t>
  </si>
  <si>
    <t xml:space="preserve">   contact-email-addr nmbtcon@chevron.com</t>
  </si>
  <si>
    <t>profile CSSM</t>
  </si>
  <si>
    <t>active</t>
  </si>
  <si>
    <t>destination transport-method http</t>
  </si>
  <si>
    <t>destination address http http://cssm.chevron.net/Transportgateway/services/DeviceRequestHandler</t>
  </si>
  <si>
    <t>if DNS is not configured properly, this URL cannot be resolved. Check DNS config tab</t>
  </si>
  <si>
    <t>destination preferred-msg-format xml</t>
  </si>
  <si>
    <t>reporting smart-licensing-data</t>
  </si>
  <si>
    <t>no destination transport-method email</t>
  </si>
  <si>
    <r>
      <t>ip http client source-interface vlan</t>
    </r>
    <r>
      <rPr>
        <sz val="11"/>
        <color rgb="FFFF0000"/>
        <rFont val="Calibri"/>
        <family val="2"/>
        <scheme val="minor"/>
      </rPr>
      <t>&lt;Data-VLAN&gt;</t>
    </r>
  </si>
  <si>
    <t>replace it with source interface (example mgmt, loopback0 etc)</t>
  </si>
  <si>
    <t xml:space="preserve">The following command should be entered in enable mode to register with the license server </t>
  </si>
  <si>
    <t>license smart register idtoken &lt;idtoken-string&gt;</t>
  </si>
  <si>
    <t>idtoken must be obtained from AMP or via email. This idtoken is valid only for NA/ITC managed devices.</t>
  </si>
  <si>
    <t>!MACSEC  (only if the hardware on both sides support it)</t>
  </si>
  <si>
    <t>interface TenGigabitEthernet3/0/1</t>
  </si>
  <si>
    <t>goes on the Uplink ports; correspnding links on the distribution switch needs the same config</t>
  </si>
  <si>
    <t xml:space="preserve">cts manual </t>
  </si>
  <si>
    <t>  no propagate sgt</t>
  </si>
  <si>
    <t xml:space="preserve">  sap pmk 0000000000000000000000000000000000012D9485CF67A588243F245B3E8BD9 mode-list gcm-encrypt   </t>
  </si>
  <si>
    <t>interface TenGigabitEthernet3/0/5</t>
  </si>
  <si>
    <t>Campus uplinks must be tagged as per the naming standard below</t>
  </si>
  <si>
    <r>
      <t>·</t>
    </r>
    <r>
      <rPr>
        <sz val="7"/>
        <color theme="1"/>
        <rFont val="Times New Roman"/>
        <family val="1"/>
      </rPr>
      <t xml:space="preserve">       </t>
    </r>
    <r>
      <rPr>
        <sz val="18"/>
        <color theme="1"/>
        <rFont val="Arial"/>
        <family val="2"/>
      </rPr>
      <t>Standard description format for Campus devices Uplink interface</t>
    </r>
  </si>
  <si>
    <t>&lt;Source Device&gt;-&lt;Source Interface&gt;&lt;space&gt;-&lt;space&gt;Uplink connected to&lt;space&gt;-&lt;space&gt;&lt;Remote Device&gt;-&lt;Remote Interface&gt;</t>
  </si>
  <si>
    <r>
      <t xml:space="preserve">For Example: for Source device </t>
    </r>
    <r>
      <rPr>
        <sz val="12"/>
        <color rgb="FF000000"/>
        <rFont val="Arial"/>
        <family val="2"/>
      </rPr>
      <t xml:space="preserve">GONFRRG01 on interface Gi1/0/3 connection with remote device </t>
    </r>
    <r>
      <rPr>
        <sz val="12"/>
        <color theme="1"/>
        <rFont val="Arial"/>
        <family val="2"/>
      </rPr>
      <t>GONFRRG03 on remote interface GigabitEthernet2/0/3,</t>
    </r>
    <r>
      <rPr>
        <sz val="12"/>
        <color rgb="FF000000"/>
        <rFont val="Arial"/>
        <family val="2"/>
      </rPr>
      <t xml:space="preserve"> the description will be </t>
    </r>
  </si>
  <si>
    <t>        </t>
  </si>
  <si>
    <r>
      <t> “</t>
    </r>
    <r>
      <rPr>
        <sz val="12"/>
        <color theme="1"/>
        <rFont val="Arial"/>
        <family val="2"/>
      </rPr>
      <t>GONFRRG01-Gi1/0/3 - Uplink Connected to - GONFRRG03-GigabitEthernet2/0/3”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</si>
  <si>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2"/>
        <color theme="1"/>
        <rFont val="Arial"/>
        <family val="2"/>
      </rPr>
      <t>For Port channel Interface used for Uplink the standard Uplink description format:</t>
    </r>
  </si>
  <si>
    <t>&lt;Source Device&gt;space&gt;-&lt;space&gt;Uplink connected to&lt;space&gt;-&lt;space&gt;&lt;Remote Device&gt;</t>
  </si>
  <si>
    <t>          For Example:  “GONFRRG01 - Uplink Connected to - GONFRRG03”</t>
  </si>
  <si>
    <r>
      <t>1.</t>
    </r>
    <r>
      <rPr>
        <sz val="7"/>
        <rFont val="Times New Roman"/>
        <family val="1"/>
      </rPr>
      <t xml:space="preserve">  </t>
    </r>
    <r>
      <rPr>
        <sz val="18"/>
        <color rgb="FF000000"/>
        <rFont val="Arial"/>
        <family val="2"/>
      </rPr>
      <t>Standard SNMP Location field format: 0 / 1 / 2 / 3 /4/5 (4th and 5th field is without space)</t>
    </r>
  </si>
  <si>
    <t>field position</t>
  </si>
  <si>
    <r>
      <t>Facility</t>
    </r>
    <r>
      <rPr>
        <sz val="12"/>
        <color rgb="FF000000"/>
        <rFont val="Arial"/>
        <family val="2"/>
      </rPr>
      <t xml:space="preserve"> </t>
    </r>
    <r>
      <rPr>
        <i/>
        <sz val="12"/>
        <color rgb="FF000000"/>
        <rFont val="Arial"/>
        <family val="2"/>
      </rPr>
      <t>(</t>
    </r>
    <r>
      <rPr>
        <sz val="12"/>
        <color rgb="FF000000"/>
        <rFont val="Arial"/>
        <family val="2"/>
      </rPr>
      <t>BCH</t>
    </r>
    <r>
      <rPr>
        <i/>
        <sz val="12"/>
        <color rgb="FF000000"/>
        <rFont val="Arial"/>
        <family val="2"/>
      </rPr>
      <t>)</t>
    </r>
  </si>
  <si>
    <r>
      <t>Address</t>
    </r>
    <r>
      <rPr>
        <sz val="12"/>
        <color rgb="FF000000"/>
        <rFont val="Arial"/>
        <family val="2"/>
      </rPr>
      <t xml:space="preserve"> separated by commas </t>
    </r>
    <r>
      <rPr>
        <i/>
        <sz val="12"/>
        <color rgb="FF000000"/>
        <rFont val="Arial"/>
        <family val="2"/>
      </rPr>
      <t>(</t>
    </r>
    <r>
      <rPr>
        <sz val="12"/>
        <color rgb="FF000000"/>
        <rFont val="Arial"/>
        <family val="2"/>
      </rPr>
      <t>10285 Highway 23 South, Belle Chasse, Louisiana</t>
    </r>
    <r>
      <rPr>
        <i/>
        <sz val="12"/>
        <color rgb="FF000000"/>
        <rFont val="Arial"/>
        <family val="2"/>
      </rPr>
      <t>)</t>
    </r>
  </si>
  <si>
    <r>
      <t>Country</t>
    </r>
    <r>
      <rPr>
        <sz val="12"/>
        <color rgb="FF000000"/>
        <rFont val="Arial"/>
        <family val="2"/>
      </rPr>
      <t> (USA</t>
    </r>
    <r>
      <rPr>
        <i/>
        <sz val="12"/>
        <color rgb="FF000000"/>
        <rFont val="Arial"/>
        <family val="2"/>
      </rPr>
      <t>)</t>
    </r>
  </si>
  <si>
    <r>
      <t>Region</t>
    </r>
    <r>
      <rPr>
        <sz val="12"/>
        <color rgb="FF000000"/>
        <rFont val="Arial"/>
        <family val="2"/>
      </rPr>
      <t xml:space="preserve"> </t>
    </r>
    <r>
      <rPr>
        <i/>
        <sz val="12"/>
        <color rgb="FF000000"/>
        <rFont val="Arial"/>
        <family val="2"/>
      </rPr>
      <t>(</t>
    </r>
    <r>
      <rPr>
        <sz val="12"/>
        <color rgb="FF000000"/>
        <rFont val="Arial"/>
        <family val="2"/>
      </rPr>
      <t>Americas</t>
    </r>
    <r>
      <rPr>
        <i/>
        <sz val="12"/>
        <color rgb="FF000000"/>
        <rFont val="Arial"/>
        <family val="2"/>
      </rPr>
      <t>)</t>
    </r>
  </si>
  <si>
    <r>
      <t>ISO Country code</t>
    </r>
    <r>
      <rPr>
        <i/>
        <sz val="12"/>
        <color rgb="FF000000"/>
        <rFont val="Arial"/>
        <family val="2"/>
      </rPr>
      <t>-</t>
    </r>
    <r>
      <rPr>
        <b/>
        <i/>
        <sz val="12"/>
        <color rgb="FF000000"/>
        <rFont val="Arial"/>
        <family val="2"/>
      </rPr>
      <t>Support Or</t>
    </r>
    <r>
      <rPr>
        <i/>
        <sz val="12"/>
        <color rgb="FF000000"/>
        <rFont val="Arial"/>
        <family val="2"/>
      </rPr>
      <t>g-</t>
    </r>
    <r>
      <rPr>
        <b/>
        <i/>
        <sz val="12"/>
        <color rgb="FF000000"/>
        <rFont val="Arial"/>
        <family val="2"/>
      </rPr>
      <t>Utility</t>
    </r>
    <r>
      <rPr>
        <i/>
        <sz val="12"/>
        <color rgb="FF000000"/>
        <rFont val="Arial"/>
        <family val="2"/>
      </rPr>
      <t>-</t>
    </r>
    <r>
      <rPr>
        <b/>
        <i/>
        <sz val="12"/>
        <color rgb="FF000000"/>
        <rFont val="Arial"/>
        <family val="2"/>
      </rPr>
      <t>Utility Name</t>
    </r>
    <r>
      <rPr>
        <sz val="12"/>
        <color rgb="FF000000"/>
        <rFont val="Arial"/>
        <family val="2"/>
      </rPr>
      <t xml:space="preserve"> (US-NA-Utility-WAN-Remotes) </t>
    </r>
  </si>
  <si>
    <r>
      <t>Criticality</t>
    </r>
    <r>
      <rPr>
        <sz val="12"/>
        <color rgb="FF000000"/>
        <rFont val="Arial"/>
        <family val="2"/>
      </rPr>
      <t xml:space="preserve"> (Criticality-Medium)</t>
    </r>
  </si>
  <si>
    <r>
      <t>2.</t>
    </r>
    <r>
      <rPr>
        <sz val="7"/>
        <color theme="1"/>
        <rFont val="Times New Roman"/>
        <family val="1"/>
      </rPr>
      <t xml:space="preserve">  </t>
    </r>
    <r>
      <rPr>
        <sz val="18"/>
        <color theme="1"/>
        <rFont val="Arial"/>
        <family val="2"/>
      </rPr>
      <t>Utility Name should follow one of the naming conventions mentioned below</t>
    </r>
  </si>
  <si>
    <t>Core</t>
  </si>
  <si>
    <t>Campus-Metro</t>
  </si>
  <si>
    <t>Data-center</t>
  </si>
  <si>
    <t>Internet</t>
  </si>
  <si>
    <t>Extranet</t>
  </si>
  <si>
    <t>WAN-Remotes</t>
  </si>
  <si>
    <t>WAN Acceleration</t>
  </si>
  <si>
    <t>Telephony</t>
  </si>
  <si>
    <t>Wireless</t>
  </si>
  <si>
    <r>
      <t>3.</t>
    </r>
    <r>
      <rPr>
        <sz val="7"/>
        <color theme="1"/>
        <rFont val="Times New Roman"/>
        <family val="1"/>
      </rPr>
      <t xml:space="preserve">  </t>
    </r>
    <r>
      <rPr>
        <sz val="18"/>
        <color theme="1"/>
        <rFont val="Arial"/>
        <family val="2"/>
      </rPr>
      <t>Criticality name should follow below naming convention</t>
    </r>
  </si>
  <si>
    <t>Criticality-Low</t>
  </si>
  <si>
    <t>Example : OOB Switches, Terminal Servers etc</t>
  </si>
  <si>
    <t>Criticality-Medium</t>
  </si>
  <si>
    <t>Example : Access Layer Switches (SL, SE etc), WAN Edge (RA, RE etc)</t>
  </si>
  <si>
    <t>Criticality-High</t>
  </si>
  <si>
    <t>Example : Distribution layer (RL,RM), PE devices, All Extranet devcies , All Data Center devices etc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</si>
</sst>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3" x14ac:knownFonts="1">
    <font>
      <sz val="11"/>
      <color theme="1"/>
      <name val="Calibri"/>
      <family val="2"/>
      <scheme val="minor"/>
    </font>
    <font>
      <sz val="10"/>
      <name val="Consolas"/>
      <family val="3"/>
    </font>
    <font>
      <sz val="10"/>
      <color indexed="10"/>
      <name val="Consolas"/>
      <family val="3"/>
    </font>
    <font>
      <sz val="11"/>
      <name val="Gill Sans MT"/>
      <family val="2"/>
    </font>
    <font>
      <sz val="11"/>
      <color indexed="10"/>
      <name val="Gill Sans MT"/>
      <family val="2"/>
    </font>
    <font>
      <sz val="11"/>
      <name val="Arial"/>
      <family val="2"/>
    </font>
    <font>
      <b/>
      <sz val="11"/>
      <color indexed="12"/>
      <name val="Arial"/>
      <family val="2"/>
    </font>
    <font>
      <sz val="11"/>
      <color indexed="10"/>
      <name val="Arial"/>
      <family val="2"/>
    </font>
    <font>
      <b/>
      <sz val="11"/>
      <color rgb="FF0000FF"/>
      <name val="Arial"/>
      <family val="2"/>
    </font>
    <font>
      <sz val="11"/>
      <color rgb="FFFF0000"/>
      <name val="Arial"/>
      <family val="2"/>
    </font>
    <font>
      <b/>
      <sz val="11"/>
      <color rgb="FFFF0000"/>
      <name val="Arial"/>
      <family val="2"/>
    </font>
    <font>
      <sz val="10"/>
      <color rgb="FF0000FF"/>
      <name val="Consolas"/>
      <family val="3"/>
    </font>
    <font>
      <sz val="11"/>
      <color theme="1"/>
      <name val="Arial"/>
      <family val="2"/>
    </font>
    <font>
      <i/>
      <sz val="11"/>
      <color theme="1"/>
      <name val="Arial"/>
      <family val="2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0"/>
      <color rgb="FF0070C0"/>
      <name val="Arial"/>
      <family val="2"/>
    </font>
    <font>
      <b/>
      <sz val="11"/>
      <color rgb="FFFF0000"/>
      <name val="Calibri"/>
      <family val="2"/>
    </font>
    <font>
      <sz val="11"/>
      <color rgb="FF1F497D"/>
      <name val="Arial"/>
      <family val="2"/>
    </font>
    <font>
      <strike/>
      <sz val="11"/>
      <color theme="1"/>
      <name val="Arial"/>
      <family val="2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indexed="12"/>
      <name val="Arial"/>
    </font>
    <font>
      <sz val="11"/>
      <color rgb="FF000000"/>
      <name val="Arial"/>
      <family val="2"/>
    </font>
    <font>
      <sz val="10"/>
      <color theme="1"/>
      <name val="Arial"/>
      <family val="2"/>
    </font>
    <font>
      <sz val="11"/>
      <name val="Arial"/>
    </font>
    <font>
      <b/>
      <sz val="11"/>
      <name val="Arial"/>
      <family val="2"/>
    </font>
    <font>
      <b/>
      <sz val="11"/>
      <color theme="1"/>
      <name val="Arial"/>
      <family val="2"/>
    </font>
    <font>
      <sz val="18"/>
      <name val="Arial"/>
      <family val="2"/>
    </font>
    <font>
      <sz val="18"/>
      <color theme="1"/>
      <name val="Symbol"/>
      <family val="1"/>
      <charset val="2"/>
    </font>
    <font>
      <sz val="7"/>
      <color theme="1"/>
      <name val="Times New Roman"/>
      <family val="1"/>
    </font>
    <font>
      <sz val="18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2"/>
      <color theme="1"/>
      <name val="Symbol"/>
      <family val="1"/>
      <charset val="2"/>
    </font>
    <font>
      <sz val="7"/>
      <name val="Times New Roman"/>
      <family val="1"/>
    </font>
    <font>
      <sz val="18"/>
      <color rgb="FF000000"/>
      <name val="Arial"/>
      <family val="2"/>
    </font>
    <font>
      <b/>
      <sz val="18"/>
      <name val="Arial"/>
      <family val="2"/>
    </font>
    <font>
      <b/>
      <i/>
      <sz val="12"/>
      <color rgb="FF000000"/>
      <name val="Arial"/>
      <family val="2"/>
    </font>
    <font>
      <i/>
      <sz val="12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6" fillId="0" borderId="0"/>
    <xf numFmtId="0" fontId="23" fillId="0" borderId="0" applyNumberFormat="0" applyFill="0" applyBorder="0" applyAlignment="0" applyProtection="0"/>
  </cellStyleXfs>
  <cellXfs count="5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8" fillId="0" borderId="0" xfId="0" applyFont="1"/>
    <xf numFmtId="0" fontId="9" fillId="0" borderId="0" xfId="0" applyFont="1"/>
    <xf numFmtId="0" fontId="7" fillId="0" borderId="0" xfId="0" applyFont="1"/>
    <xf numFmtId="0" fontId="11" fillId="0" borderId="0" xfId="0" applyFont="1"/>
    <xf numFmtId="0" fontId="12" fillId="0" borderId="0" xfId="0" applyFont="1"/>
    <xf numFmtId="0" fontId="5" fillId="2" borderId="0" xfId="0" applyFont="1" applyFill="1"/>
    <xf numFmtId="0" fontId="10" fillId="0" borderId="0" xfId="0" applyFont="1"/>
    <xf numFmtId="0" fontId="5" fillId="0" borderId="0" xfId="0" applyFont="1" applyProtection="1">
      <protection locked="0"/>
    </xf>
    <xf numFmtId="0" fontId="5" fillId="0" borderId="0" xfId="0" applyFont="1" applyProtection="1"/>
    <xf numFmtId="0" fontId="13" fillId="0" borderId="0" xfId="0" applyFont="1"/>
    <xf numFmtId="0" fontId="5" fillId="0" borderId="0" xfId="0" applyFont="1" applyAlignment="1">
      <alignment vertical="center"/>
    </xf>
    <xf numFmtId="0" fontId="0" fillId="0" borderId="0" xfId="0"/>
    <xf numFmtId="0" fontId="0" fillId="0" borderId="0" xfId="0" applyFill="1"/>
    <xf numFmtId="0" fontId="19" fillId="0" borderId="0" xfId="0" applyFont="1" applyAlignment="1">
      <alignment vertical="center"/>
    </xf>
    <xf numFmtId="0" fontId="16" fillId="0" borderId="0" xfId="1"/>
    <xf numFmtId="0" fontId="17" fillId="0" borderId="0" xfId="1" applyFont="1"/>
    <xf numFmtId="0" fontId="16" fillId="0" borderId="0" xfId="1" applyFont="1"/>
    <xf numFmtId="0" fontId="18" fillId="0" borderId="0" xfId="1" applyFont="1"/>
    <xf numFmtId="0" fontId="14" fillId="0" borderId="0" xfId="0" applyFont="1"/>
    <xf numFmtId="0" fontId="19" fillId="0" borderId="0" xfId="0" applyFont="1"/>
    <xf numFmtId="0" fontId="12" fillId="0" borderId="0" xfId="0" applyFont="1" applyAlignment="1">
      <alignment vertical="center"/>
    </xf>
    <xf numFmtId="0" fontId="20" fillId="0" borderId="0" xfId="0" applyFont="1"/>
    <xf numFmtId="0" fontId="21" fillId="0" borderId="0" xfId="0" applyFont="1"/>
    <xf numFmtId="0" fontId="0" fillId="0" borderId="0" xfId="0" applyAlignment="1">
      <alignment vertical="center"/>
    </xf>
    <xf numFmtId="0" fontId="0" fillId="2" borderId="0" xfId="0" applyFill="1"/>
    <xf numFmtId="0" fontId="0" fillId="0" borderId="0" xfId="0" applyAlignment="1">
      <alignment horizontal="left" indent="1"/>
    </xf>
    <xf numFmtId="0" fontId="12" fillId="2" borderId="0" xfId="0" applyFont="1" applyFill="1"/>
    <xf numFmtId="0" fontId="0" fillId="0" borderId="0" xfId="0" applyFont="1"/>
    <xf numFmtId="0" fontId="0" fillId="0" borderId="0" xfId="0" applyAlignment="1">
      <alignment wrapText="1"/>
    </xf>
    <xf numFmtId="0" fontId="23" fillId="0" borderId="0" xfId="2" applyFont="1" applyBorder="1" applyAlignment="1">
      <alignment horizontal="left" vertical="center" indent="1" readingOrder="1"/>
    </xf>
    <xf numFmtId="0" fontId="23" fillId="0" borderId="0" xfId="2" applyBorder="1" applyAlignment="1">
      <alignment horizontal="left" vertical="center" indent="1" readingOrder="1"/>
    </xf>
    <xf numFmtId="0" fontId="24" fillId="0" borderId="0" xfId="0" applyFont="1"/>
    <xf numFmtId="0" fontId="25" fillId="0" borderId="0" xfId="0" applyFont="1" applyAlignment="1">
      <alignment vertical="center"/>
    </xf>
    <xf numFmtId="0" fontId="26" fillId="0" borderId="0" xfId="0" applyFont="1" applyAlignment="1">
      <alignment vertical="center" wrapText="1"/>
    </xf>
    <xf numFmtId="0" fontId="26" fillId="0" borderId="0" xfId="0" applyFont="1"/>
    <xf numFmtId="0" fontId="8" fillId="0" borderId="0" xfId="0" applyFont="1" applyAlignment="1">
      <alignment vertical="center"/>
    </xf>
    <xf numFmtId="0" fontId="27" fillId="2" borderId="0" xfId="0" applyFont="1" applyFill="1"/>
    <xf numFmtId="0" fontId="15" fillId="0" borderId="0" xfId="0" applyFont="1"/>
    <xf numFmtId="0" fontId="28" fillId="0" borderId="0" xfId="0" applyFont="1"/>
    <xf numFmtId="0" fontId="29" fillId="0" borderId="0" xfId="0" applyFont="1"/>
    <xf numFmtId="0" fontId="30" fillId="0" borderId="0" xfId="0" applyFont="1" applyAlignment="1">
      <alignment horizontal="justify" vertical="center"/>
    </xf>
    <xf numFmtId="0" fontId="31" fillId="0" borderId="0" xfId="0" applyFont="1" applyAlignment="1">
      <alignment horizontal="left" vertical="center" indent="8"/>
    </xf>
    <xf numFmtId="0" fontId="34" fillId="0" borderId="0" xfId="0" applyFont="1" applyAlignment="1">
      <alignment horizontal="justify" vertical="center"/>
    </xf>
    <xf numFmtId="0" fontId="35" fillId="0" borderId="0" xfId="0" applyFont="1" applyAlignment="1">
      <alignment horizontal="justify" vertical="center"/>
    </xf>
    <xf numFmtId="0" fontId="36" fillId="0" borderId="0" xfId="0" applyFont="1" applyAlignment="1">
      <alignment horizontal="justify" vertical="center"/>
    </xf>
    <xf numFmtId="0" fontId="37" fillId="0" borderId="0" xfId="0" applyFont="1" applyAlignment="1">
      <alignment horizontal="left" vertical="center" indent="13"/>
    </xf>
    <xf numFmtId="0" fontId="35" fillId="0" borderId="0" xfId="0" applyFont="1" applyAlignment="1">
      <alignment horizontal="left" vertical="center" indent="13"/>
    </xf>
    <xf numFmtId="0" fontId="40" fillId="0" borderId="0" xfId="0" applyFont="1" applyAlignment="1">
      <alignment horizontal="justify" vertical="center"/>
    </xf>
    <xf numFmtId="0" fontId="33" fillId="0" borderId="0" xfId="0" applyFont="1" applyAlignment="1">
      <alignment vertical="center" wrapText="1"/>
    </xf>
    <xf numFmtId="0" fontId="25" fillId="0" borderId="0" xfId="0" applyFont="1"/>
  </cellXfs>
  <cellStyles count="3">
    <cellStyle name="Hyperlink" xfId="2" builtinId="8"/>
    <cellStyle name="Normal" xfId="0" builtinId="0"/>
    <cellStyle name="Normal 2" xfId="1" xr:uid="{00000000-0005-0000-0000-000001000000}"/>
  </cellStyles>
  <dxfs count="2"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customXml" Target="../customXml/item1.xml"/><Relationship Id="rId30" Type="http://schemas.openxmlformats.org/officeDocument/2006/relationships/customXml" Target="../customXml/item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wiq\OneDrive%20-%20Chevron\NetMgmt\NMS\IOS%20Security%20Template%20for%20Ansibl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tails"/>
      <sheetName val="Base Config"/>
      <sheetName val="Additional Config"/>
      <sheetName val="TACACS config - add later"/>
      <sheetName val="External Config"/>
    </sheetNames>
    <sheetDataSet>
      <sheetData sheetId="0">
        <row r="9">
          <cell r="I9" t="str">
            <v>HOU150</v>
          </cell>
        </row>
        <row r="10">
          <cell r="I10" t="str">
            <v>20th Floor, Room No. xxxx</v>
          </cell>
        </row>
        <row r="20">
          <cell r="B20" t="str">
            <v>vlan xxx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A816A-F9A8-473F-9DFF-DA77AF071E82}">
  <dimension ref="A1:A14"/>
  <sheetViews>
    <sheetView workbookViewId="0">
      <selection activeCell="A13" sqref="A13"/>
    </sheetView>
  </sheetViews>
  <sheetFormatPr defaultRowHeight="15" x14ac:dyDescent="0.25"/>
  <cols>
    <col min="1" max="1" width="175" customWidth="1"/>
  </cols>
  <sheetData>
    <row r="1" spans="1:1" x14ac:dyDescent="0.25">
      <c r="A1" s="18" t="s">
        <v>0</v>
      </c>
    </row>
    <row r="2" spans="1:1" s="18" customFormat="1" x14ac:dyDescent="0.25"/>
    <row r="3" spans="1:1" x14ac:dyDescent="0.25">
      <c r="A3" s="31" t="s">
        <v>1</v>
      </c>
    </row>
    <row r="4" spans="1:1" x14ac:dyDescent="0.25">
      <c r="A4" s="18" t="s">
        <v>2</v>
      </c>
    </row>
    <row r="5" spans="1:1" x14ac:dyDescent="0.25">
      <c r="A5" s="18" t="s">
        <v>3</v>
      </c>
    </row>
    <row r="6" spans="1:1" x14ac:dyDescent="0.25">
      <c r="A6" s="18" t="s">
        <v>4</v>
      </c>
    </row>
    <row r="7" spans="1:1" x14ac:dyDescent="0.25">
      <c r="A7" s="18" t="s">
        <v>5</v>
      </c>
    </row>
    <row r="8" spans="1:1" x14ac:dyDescent="0.25">
      <c r="A8" s="18" t="s">
        <v>6</v>
      </c>
    </row>
    <row r="9" spans="1:1" s="18" customFormat="1" x14ac:dyDescent="0.25"/>
    <row r="10" spans="1:1" s="18" customFormat="1" x14ac:dyDescent="0.25">
      <c r="A10" s="31" t="s">
        <v>7</v>
      </c>
    </row>
    <row r="11" spans="1:1" x14ac:dyDescent="0.25">
      <c r="A11" s="18" t="s">
        <v>8</v>
      </c>
    </row>
    <row r="12" spans="1:1" x14ac:dyDescent="0.25">
      <c r="A12" s="18" t="s">
        <v>9</v>
      </c>
    </row>
    <row r="13" spans="1:1" x14ac:dyDescent="0.25">
      <c r="A13" s="18" t="s">
        <v>10</v>
      </c>
    </row>
    <row r="14" spans="1:1" x14ac:dyDescent="0.25">
      <c r="A14" s="18" t="s">
        <v>11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EB20F-1AF6-4460-A569-F1B6E18FCA3B}">
  <dimension ref="A1:C21"/>
  <sheetViews>
    <sheetView workbookViewId="0">
      <selection activeCell="C13" sqref="C13"/>
    </sheetView>
  </sheetViews>
  <sheetFormatPr defaultRowHeight="15" x14ac:dyDescent="0.25"/>
  <cols>
    <col min="2" max="2" width="23.7109375" bestFit="1" customWidth="1"/>
    <col min="3" max="3" width="14.28515625" bestFit="1" customWidth="1"/>
  </cols>
  <sheetData>
    <row r="1" spans="1:3" x14ac:dyDescent="0.25">
      <c r="A1" s="18" t="s">
        <v>12</v>
      </c>
      <c r="B1" s="34" t="s">
        <v>13</v>
      </c>
      <c r="C1" s="36" t="s">
        <v>14</v>
      </c>
    </row>
    <row r="2" spans="1:3" x14ac:dyDescent="0.25">
      <c r="A2" s="18">
        <v>2</v>
      </c>
      <c r="B2" s="34" t="str">
        <f>INDEX(SheetNames,A2)</f>
        <v>Index</v>
      </c>
      <c r="C2" s="37" t="str">
        <f t="shared" ref="C2:C9" si="0">HYPERLINK("#'"&amp;B2&amp;"'!A1","Link To Sheet")</f>
        <v>Link To Sheet</v>
      </c>
    </row>
    <row r="3" spans="1:3" x14ac:dyDescent="0.25">
      <c r="A3" s="18">
        <v>3</v>
      </c>
      <c r="B3" s="34" t="str">
        <f>INDEX(SheetNames,A3)</f>
        <v>Base Config</v>
      </c>
      <c r="C3" s="37" t="str">
        <f>HYPERLINK("#'"&amp;B3&amp;"'!A2","Link To Sheet")</f>
        <v>Link To Sheet</v>
      </c>
    </row>
    <row r="4" spans="1:3" x14ac:dyDescent="0.25">
      <c r="A4" s="18">
        <v>4</v>
      </c>
      <c r="B4" s="34" t="str">
        <f t="shared" ref="B4:B17" si="1">INDEX(SheetNames,A4)</f>
        <v xml:space="preserve">VLANs </v>
      </c>
      <c r="C4" s="37" t="str">
        <f>HYPERLINK("#'"&amp;B4&amp;"'!A3","Link To Sheet")</f>
        <v>Link To Sheet</v>
      </c>
    </row>
    <row r="5" spans="1:3" x14ac:dyDescent="0.25">
      <c r="A5" s="18">
        <v>5</v>
      </c>
      <c r="B5" s="34" t="str">
        <f t="shared" si="1"/>
        <v>SVI for Data Vlan</v>
      </c>
      <c r="C5" s="37" t="str">
        <f>HYPERLINK("#'"&amp;B5&amp;"'!A4","Link To Sheet")</f>
        <v>Link To Sheet</v>
      </c>
    </row>
    <row r="6" spans="1:3" x14ac:dyDescent="0.25">
      <c r="A6" s="18">
        <v>6</v>
      </c>
      <c r="B6" s="34" t="str">
        <f t="shared" si="1"/>
        <v>NTP Config + NTP ACL</v>
      </c>
      <c r="C6" s="37" t="str">
        <f>HYPERLINK("#'"&amp;B6&amp;"'!A5","Link To Sheet")</f>
        <v>Link To Sheet</v>
      </c>
    </row>
    <row r="7" spans="1:3" x14ac:dyDescent="0.25">
      <c r="A7" s="18">
        <v>7</v>
      </c>
      <c r="B7" s="34" t="str">
        <f t="shared" si="1"/>
        <v>STP(spanning tree) Config</v>
      </c>
      <c r="C7" s="37" t="str">
        <f t="shared" si="0"/>
        <v>Link To Sheet</v>
      </c>
    </row>
    <row r="8" spans="1:3" x14ac:dyDescent="0.25">
      <c r="A8" s="18">
        <v>8</v>
      </c>
      <c r="B8" s="34" t="str">
        <f t="shared" si="1"/>
        <v>DNS Config</v>
      </c>
      <c r="C8" s="37" t="str">
        <f>HYPERLINK("#'"&amp;B8&amp;"'!A6","Link To Sheet")</f>
        <v>Link To Sheet</v>
      </c>
    </row>
    <row r="9" spans="1:3" x14ac:dyDescent="0.25">
      <c r="A9" s="18">
        <v>9</v>
      </c>
      <c r="B9" s="34" t="str">
        <f t="shared" si="1"/>
        <v>SSH Config</v>
      </c>
      <c r="C9" s="37" t="str">
        <f t="shared" si="0"/>
        <v>Link To Sheet</v>
      </c>
    </row>
    <row r="10" spans="1:3" x14ac:dyDescent="0.25">
      <c r="A10" s="18">
        <v>10</v>
      </c>
      <c r="B10" s="34" t="str">
        <f t="shared" si="1"/>
        <v>VTP Config</v>
      </c>
      <c r="C10" s="37" t="str">
        <f>HYPERLINK("#'"&amp;B10&amp;"'!A7","Link To Sheet")</f>
        <v>Link To Sheet</v>
      </c>
    </row>
    <row r="11" spans="1:3" x14ac:dyDescent="0.25">
      <c r="A11" s="18">
        <v>11</v>
      </c>
      <c r="B11" s="34" t="str">
        <f t="shared" si="1"/>
        <v>VTY + ACL</v>
      </c>
      <c r="C11" s="37" t="str">
        <f>HYPERLINK("#'"&amp;B11&amp;"'!A8","Link To Sheet")</f>
        <v>Link To Sheet</v>
      </c>
    </row>
    <row r="12" spans="1:3" x14ac:dyDescent="0.25">
      <c r="A12" s="18">
        <v>12</v>
      </c>
      <c r="B12" s="34" t="str">
        <f t="shared" si="1"/>
        <v>Syslog Config</v>
      </c>
      <c r="C12" s="37" t="str">
        <f>HYPERLINK("#'"&amp;B12&amp;"'!A9","Link To Sheet")</f>
        <v>Link To Sheet</v>
      </c>
    </row>
    <row r="13" spans="1:3" x14ac:dyDescent="0.25">
      <c r="A13" s="18">
        <v>13</v>
      </c>
      <c r="B13" s="34" t="str">
        <f>INDEX(SheetNames,A13)</f>
        <v>Tacacs config</v>
      </c>
      <c r="C13" s="37" t="str">
        <f>HYPERLINK("#'"&amp;B13&amp;"'!A10","Link To Sheet")</f>
        <v>Link To Sheet</v>
      </c>
    </row>
    <row r="14" spans="1:3" x14ac:dyDescent="0.25">
      <c r="A14" s="18">
        <v>14</v>
      </c>
      <c r="B14" s="34" t="str">
        <f t="shared" si="1"/>
        <v>Dot1x Config (+int conf)</v>
      </c>
      <c r="C14" s="37" t="str">
        <f>HYPERLINK("#'"&amp;B14&amp;"'!A11","Link To Sheet")</f>
        <v>Link To Sheet</v>
      </c>
    </row>
    <row r="15" spans="1:3" x14ac:dyDescent="0.25">
      <c r="A15" s="18">
        <v>15</v>
      </c>
      <c r="B15" s="34" t="str">
        <f t="shared" si="1"/>
        <v>Uplink Config</v>
      </c>
      <c r="C15" s="37" t="str">
        <f>HYPERLINK("#'"&amp;B15&amp;"'!A12","Link To Sheet")</f>
        <v>Link To Sheet</v>
      </c>
    </row>
    <row r="16" spans="1:3" x14ac:dyDescent="0.25">
      <c r="A16" s="18">
        <v>16</v>
      </c>
      <c r="B16" s="34" t="str">
        <f t="shared" si="1"/>
        <v>SNMP Config + SNMP ACL</v>
      </c>
      <c r="C16" s="37" t="str">
        <f>HYPERLINK("#'"&amp;B16&amp;"'!A13","Link To Sheet")</f>
        <v>Link To Sheet</v>
      </c>
    </row>
    <row r="17" spans="1:3" x14ac:dyDescent="0.25">
      <c r="A17" s="18">
        <v>17</v>
      </c>
      <c r="B17" s="34" t="str">
        <f t="shared" si="1"/>
        <v>QoS Config</v>
      </c>
      <c r="C17" s="37" t="str">
        <f>HYPERLINK("#'"&amp;B17&amp;"'!A14","Link To Sheet")</f>
        <v>Link To Sheet</v>
      </c>
    </row>
    <row r="18" spans="1:3" s="18" customFormat="1" x14ac:dyDescent="0.25">
      <c r="A18" s="18">
        <v>18</v>
      </c>
      <c r="B18" s="34" t="s">
        <v>15</v>
      </c>
      <c r="C18" s="37" t="str">
        <f>HYPERLINK("#'"&amp;B18&amp;"'!A14","Link To Sheet")</f>
        <v>Link To Sheet</v>
      </c>
    </row>
    <row r="19" spans="1:3" x14ac:dyDescent="0.25">
      <c r="A19" s="18">
        <v>19</v>
      </c>
      <c r="B19" s="34" t="s">
        <v>16</v>
      </c>
      <c r="C19" s="37" t="str">
        <f>HYPERLINK("#'"&amp;B19&amp;"'!A10","Link To Sheet")</f>
        <v>Link To Sheet</v>
      </c>
    </row>
    <row r="20" spans="1:3" x14ac:dyDescent="0.25">
      <c r="A20" s="18">
        <v>20</v>
      </c>
      <c r="B20" s="34" t="s">
        <v>17</v>
      </c>
      <c r="C20" s="37" t="str">
        <f t="shared" ref="C20:C21" si="2">HYPERLINK("#'"&amp;B20&amp;"'!A10","Link To Sheet")</f>
        <v>Link To Sheet</v>
      </c>
    </row>
    <row r="21" spans="1:3" x14ac:dyDescent="0.25">
      <c r="A21" s="18">
        <v>21</v>
      </c>
      <c r="B21" s="18" t="s">
        <v>18</v>
      </c>
      <c r="C21" s="37" t="str">
        <f t="shared" si="2"/>
        <v>Link To Sheet</v>
      </c>
    </row>
  </sheetData>
  <sheetProtection algorithmName="SHA-512" hashValue="/dfYDGCLiC9aCYR8V5l7NK0gwfMNlGz9QhDTlJWkBD+vzYM0WOMiwczPs3h3XiXJ1qIX+RRQ8JWWdihyv7Z9/g==" saltValue="/7s6Qn/CXwLlCwG9tQAW9w==" spinCount="100000" sheet="1" objects="1" scenarios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3AF89-BE61-48C4-A527-489BF79E76C7}">
  <dimension ref="A2:F97"/>
  <sheetViews>
    <sheetView topLeftCell="A58" workbookViewId="0">
      <selection activeCell="A83" sqref="A83"/>
    </sheetView>
  </sheetViews>
  <sheetFormatPr defaultRowHeight="15" x14ac:dyDescent="0.25"/>
  <cols>
    <col min="1" max="1" width="68.42578125" customWidth="1"/>
    <col min="2" max="2" width="34.7109375" customWidth="1"/>
  </cols>
  <sheetData>
    <row r="2" spans="1:5" ht="17.25" x14ac:dyDescent="0.35">
      <c r="A2" s="5" t="s">
        <v>19</v>
      </c>
      <c r="B2" s="4"/>
      <c r="C2" s="4"/>
      <c r="D2" s="4"/>
      <c r="E2" s="4"/>
    </row>
    <row r="3" spans="1:5" ht="17.25" x14ac:dyDescent="0.35">
      <c r="A3" s="5" t="s">
        <v>20</v>
      </c>
      <c r="B3" s="4"/>
      <c r="C3" s="4"/>
      <c r="D3" s="4"/>
      <c r="E3" s="4"/>
    </row>
    <row r="4" spans="1:5" ht="17.25" x14ac:dyDescent="0.35">
      <c r="A4" s="5" t="s">
        <v>21</v>
      </c>
      <c r="B4" s="4"/>
      <c r="C4" s="4"/>
      <c r="D4" s="4"/>
      <c r="E4" s="4"/>
    </row>
    <row r="5" spans="1:5" ht="17.25" x14ac:dyDescent="0.35">
      <c r="A5" s="27" t="s">
        <v>22</v>
      </c>
      <c r="B5" s="4"/>
      <c r="C5" s="4"/>
      <c r="D5" s="4"/>
      <c r="E5" s="4"/>
    </row>
    <row r="6" spans="1:5" ht="17.25" x14ac:dyDescent="0.35">
      <c r="A6" s="27" t="s">
        <v>23</v>
      </c>
      <c r="B6" s="4"/>
      <c r="C6" s="4"/>
      <c r="D6" s="4"/>
      <c r="E6" s="4"/>
    </row>
    <row r="7" spans="1:5" ht="17.25" x14ac:dyDescent="0.35">
      <c r="A7" s="5" t="s">
        <v>24</v>
      </c>
      <c r="B7" s="4"/>
      <c r="C7" s="4"/>
      <c r="D7" s="4"/>
      <c r="E7" s="4"/>
    </row>
    <row r="8" spans="1:5" ht="17.25" x14ac:dyDescent="0.35">
      <c r="A8" s="5" t="s">
        <v>25</v>
      </c>
      <c r="B8" s="3"/>
      <c r="C8" s="3"/>
      <c r="D8" s="3"/>
      <c r="E8" s="3"/>
    </row>
    <row r="9" spans="1:5" ht="17.25" x14ac:dyDescent="0.35">
      <c r="A9" s="5" t="s">
        <v>26</v>
      </c>
      <c r="B9" s="3"/>
      <c r="C9" s="3"/>
      <c r="D9" s="3"/>
      <c r="E9" s="3"/>
    </row>
    <row r="10" spans="1:5" ht="17.25" x14ac:dyDescent="0.35">
      <c r="A10" s="5" t="s">
        <v>27</v>
      </c>
      <c r="B10" s="3"/>
      <c r="C10" s="3"/>
      <c r="D10" s="3"/>
      <c r="E10" s="3"/>
    </row>
    <row r="11" spans="1:5" ht="17.25" x14ac:dyDescent="0.35">
      <c r="A11" s="5" t="s">
        <v>28</v>
      </c>
      <c r="B11" s="3"/>
      <c r="C11" s="3"/>
      <c r="D11" s="3"/>
      <c r="E11" s="3"/>
    </row>
    <row r="12" spans="1:5" ht="17.25" x14ac:dyDescent="0.35">
      <c r="A12" s="5" t="s">
        <v>29</v>
      </c>
      <c r="B12" s="3"/>
      <c r="C12" s="3"/>
      <c r="D12" s="3"/>
      <c r="E12" s="3"/>
    </row>
    <row r="13" spans="1:5" ht="17.25" x14ac:dyDescent="0.35">
      <c r="A13" s="5" t="s">
        <v>29</v>
      </c>
      <c r="B13" s="4"/>
      <c r="C13" s="4"/>
      <c r="D13" s="4"/>
      <c r="E13" s="4"/>
    </row>
    <row r="14" spans="1:5" ht="17.25" x14ac:dyDescent="0.35">
      <c r="A14" s="5" t="s">
        <v>30</v>
      </c>
      <c r="B14" s="3"/>
      <c r="C14" s="3"/>
      <c r="D14" s="3"/>
      <c r="E14" s="3"/>
    </row>
    <row r="15" spans="1:5" ht="17.25" x14ac:dyDescent="0.35">
      <c r="A15" s="5" t="s">
        <v>31</v>
      </c>
      <c r="B15" s="3"/>
      <c r="C15" s="3"/>
      <c r="D15" s="3"/>
      <c r="E15" s="3"/>
    </row>
    <row r="16" spans="1:5" ht="17.25" x14ac:dyDescent="0.35">
      <c r="A16" s="5" t="s">
        <v>32</v>
      </c>
      <c r="B16" s="3"/>
      <c r="C16" s="3"/>
      <c r="D16" s="3"/>
      <c r="E16" s="3"/>
    </row>
    <row r="17" spans="1:6" ht="17.25" x14ac:dyDescent="0.35">
      <c r="A17" s="5" t="s">
        <v>33</v>
      </c>
      <c r="B17" s="3"/>
      <c r="C17" s="3"/>
      <c r="D17" s="3"/>
      <c r="E17" s="3"/>
      <c r="F17" s="18"/>
    </row>
    <row r="18" spans="1:6" ht="17.25" x14ac:dyDescent="0.35">
      <c r="A18" s="5" t="s">
        <v>34</v>
      </c>
      <c r="B18" s="3"/>
      <c r="C18" s="3"/>
      <c r="D18" s="3"/>
      <c r="E18" s="3"/>
      <c r="F18" s="18"/>
    </row>
    <row r="19" spans="1:6" ht="17.25" x14ac:dyDescent="0.35">
      <c r="A19" s="5" t="s">
        <v>35</v>
      </c>
      <c r="B19" s="3"/>
      <c r="C19" s="3"/>
      <c r="D19" s="3"/>
      <c r="E19" s="3"/>
      <c r="F19" s="18"/>
    </row>
    <row r="20" spans="1:6" ht="17.25" x14ac:dyDescent="0.35">
      <c r="A20" s="5"/>
      <c r="B20" s="3"/>
      <c r="C20" s="3"/>
      <c r="D20" s="3"/>
      <c r="E20" s="3"/>
      <c r="F20" s="18"/>
    </row>
    <row r="21" spans="1:6" ht="17.25" x14ac:dyDescent="0.35">
      <c r="A21" s="7" t="s">
        <v>36</v>
      </c>
      <c r="B21" s="3"/>
      <c r="C21" s="3"/>
      <c r="D21" s="3"/>
      <c r="E21" s="3"/>
      <c r="F21" s="18"/>
    </row>
    <row r="22" spans="1:6" ht="17.25" x14ac:dyDescent="0.35">
      <c r="A22" s="5" t="s">
        <v>37</v>
      </c>
      <c r="B22" s="3"/>
      <c r="C22" s="3"/>
      <c r="D22" s="3"/>
      <c r="E22" s="3"/>
      <c r="F22" s="18"/>
    </row>
    <row r="23" spans="1:6" ht="17.25" x14ac:dyDescent="0.35">
      <c r="A23" s="5"/>
      <c r="B23" s="3"/>
      <c r="C23" s="3"/>
      <c r="D23" s="3"/>
      <c r="E23" s="3"/>
      <c r="F23" s="18"/>
    </row>
    <row r="24" spans="1:6" ht="17.25" x14ac:dyDescent="0.35">
      <c r="A24" s="7" t="s">
        <v>38</v>
      </c>
      <c r="B24" s="3"/>
      <c r="C24" s="3"/>
      <c r="D24" s="3"/>
      <c r="E24" s="3"/>
      <c r="F24" s="18"/>
    </row>
    <row r="25" spans="1:6" ht="17.25" x14ac:dyDescent="0.35">
      <c r="A25" s="5" t="s">
        <v>39</v>
      </c>
      <c r="B25" s="3"/>
      <c r="C25" s="3"/>
      <c r="D25" s="3"/>
      <c r="E25" s="3"/>
      <c r="F25" s="18"/>
    </row>
    <row r="26" spans="1:6" ht="17.25" x14ac:dyDescent="0.35">
      <c r="A26" s="5"/>
      <c r="B26" s="3"/>
      <c r="C26" s="3"/>
      <c r="D26" s="3"/>
      <c r="E26" s="3"/>
      <c r="F26" s="18"/>
    </row>
    <row r="27" spans="1:6" ht="17.25" x14ac:dyDescent="0.35">
      <c r="A27" s="6" t="s">
        <v>40</v>
      </c>
      <c r="B27" s="3"/>
      <c r="C27" s="3"/>
      <c r="D27" s="3"/>
      <c r="E27" s="3"/>
      <c r="F27" s="18"/>
    </row>
    <row r="28" spans="1:6" x14ac:dyDescent="0.25">
      <c r="A28" s="5" t="s">
        <v>41</v>
      </c>
      <c r="B28" s="5"/>
      <c r="C28" s="5"/>
      <c r="D28" s="1"/>
      <c r="E28" s="1"/>
      <c r="F28" s="1"/>
    </row>
    <row r="29" spans="1:6" x14ac:dyDescent="0.25">
      <c r="A29" s="5" t="s">
        <v>42</v>
      </c>
      <c r="B29" s="5"/>
      <c r="C29" s="5"/>
      <c r="D29" s="1"/>
      <c r="E29" s="1"/>
      <c r="F29" s="1"/>
    </row>
    <row r="31" spans="1:6" x14ac:dyDescent="0.25">
      <c r="A31" s="7" t="s">
        <v>43</v>
      </c>
      <c r="B31" s="5"/>
      <c r="C31" s="5"/>
      <c r="D31" s="18"/>
      <c r="E31" s="18"/>
      <c r="F31" s="18"/>
    </row>
    <row r="32" spans="1:6" x14ac:dyDescent="0.25">
      <c r="A32" s="5" t="s">
        <v>44</v>
      </c>
      <c r="B32" s="5"/>
      <c r="C32" s="5"/>
      <c r="D32" s="18"/>
      <c r="E32" s="18"/>
      <c r="F32" s="18"/>
    </row>
    <row r="33" spans="1:3" x14ac:dyDescent="0.25">
      <c r="A33" s="5" t="s">
        <v>45</v>
      </c>
      <c r="B33" s="5"/>
      <c r="C33" s="5"/>
    </row>
    <row r="34" spans="1:3" x14ac:dyDescent="0.25">
      <c r="A34" s="5" t="s">
        <v>46</v>
      </c>
      <c r="B34" s="5"/>
      <c r="C34" s="5"/>
    </row>
    <row r="35" spans="1:3" x14ac:dyDescent="0.25">
      <c r="A35" s="5" t="s">
        <v>47</v>
      </c>
      <c r="B35" s="5"/>
      <c r="C35" s="5"/>
    </row>
    <row r="36" spans="1:3" x14ac:dyDescent="0.25">
      <c r="A36" s="5" t="s">
        <v>48</v>
      </c>
      <c r="B36" s="5"/>
      <c r="C36" s="5"/>
    </row>
    <row r="38" spans="1:3" x14ac:dyDescent="0.25">
      <c r="A38" s="7" t="s">
        <v>49</v>
      </c>
      <c r="B38" s="5"/>
      <c r="C38" s="5"/>
    </row>
    <row r="39" spans="1:3" x14ac:dyDescent="0.25">
      <c r="A39" s="5" t="s">
        <v>50</v>
      </c>
      <c r="B39" s="5"/>
      <c r="C39" s="5"/>
    </row>
    <row r="40" spans="1:3" x14ac:dyDescent="0.25">
      <c r="A40" s="5" t="s">
        <v>45</v>
      </c>
      <c r="B40" s="5"/>
      <c r="C40" s="5"/>
    </row>
    <row r="41" spans="1:3" x14ac:dyDescent="0.25">
      <c r="A41" s="5" t="s">
        <v>51</v>
      </c>
      <c r="B41" s="8"/>
      <c r="C41" s="5"/>
    </row>
    <row r="43" spans="1:3" x14ac:dyDescent="0.25">
      <c r="A43" s="6" t="s">
        <v>52</v>
      </c>
      <c r="B43" s="18"/>
      <c r="C43" s="18"/>
    </row>
    <row r="44" spans="1:3" x14ac:dyDescent="0.25">
      <c r="A44" s="5" t="s">
        <v>53</v>
      </c>
      <c r="B44" s="18"/>
      <c r="C44" s="18"/>
    </row>
    <row r="45" spans="1:3" x14ac:dyDescent="0.25">
      <c r="A45" s="5" t="s">
        <v>54</v>
      </c>
      <c r="B45" s="18"/>
      <c r="C45" s="18"/>
    </row>
    <row r="46" spans="1:3" x14ac:dyDescent="0.25">
      <c r="A46" s="5" t="s">
        <v>55</v>
      </c>
      <c r="B46" s="18"/>
      <c r="C46" s="18"/>
    </row>
    <row r="47" spans="1:3" x14ac:dyDescent="0.25">
      <c r="A47" s="5" t="s">
        <v>56</v>
      </c>
      <c r="B47" s="18"/>
      <c r="C47" s="18"/>
    </row>
    <row r="48" spans="1:3" x14ac:dyDescent="0.25">
      <c r="A48" s="5" t="s">
        <v>57</v>
      </c>
      <c r="B48" s="18"/>
      <c r="C48" s="18"/>
    </row>
    <row r="49" spans="1:1" x14ac:dyDescent="0.25">
      <c r="A49" s="5" t="s">
        <v>58</v>
      </c>
    </row>
    <row r="50" spans="1:1" x14ac:dyDescent="0.25">
      <c r="A50" s="5" t="s">
        <v>59</v>
      </c>
    </row>
    <row r="51" spans="1:1" x14ac:dyDescent="0.25">
      <c r="A51" s="5" t="s">
        <v>60</v>
      </c>
    </row>
    <row r="52" spans="1:1" x14ac:dyDescent="0.25">
      <c r="A52" s="5" t="s">
        <v>61</v>
      </c>
    </row>
    <row r="53" spans="1:1" x14ac:dyDescent="0.25">
      <c r="A53" s="5" t="s">
        <v>62</v>
      </c>
    </row>
    <row r="54" spans="1:1" x14ac:dyDescent="0.25">
      <c r="A54" s="5" t="s">
        <v>63</v>
      </c>
    </row>
    <row r="55" spans="1:1" x14ac:dyDescent="0.25">
      <c r="A55" s="5" t="s">
        <v>64</v>
      </c>
    </row>
    <row r="56" spans="1:1" x14ac:dyDescent="0.25">
      <c r="A56" s="5" t="s">
        <v>65</v>
      </c>
    </row>
    <row r="57" spans="1:1" x14ac:dyDescent="0.25">
      <c r="A57" s="5" t="s">
        <v>66</v>
      </c>
    </row>
    <row r="58" spans="1:1" x14ac:dyDescent="0.25">
      <c r="A58" s="5" t="s">
        <v>67</v>
      </c>
    </row>
    <row r="59" spans="1:1" x14ac:dyDescent="0.25">
      <c r="A59" s="5" t="s">
        <v>54</v>
      </c>
    </row>
    <row r="60" spans="1:1" x14ac:dyDescent="0.25">
      <c r="A60" s="16" t="s">
        <v>68</v>
      </c>
    </row>
    <row r="62" spans="1:1" x14ac:dyDescent="0.25">
      <c r="A62" s="6" t="s">
        <v>69</v>
      </c>
    </row>
    <row r="63" spans="1:1" x14ac:dyDescent="0.25">
      <c r="A63" s="6" t="s">
        <v>70</v>
      </c>
    </row>
    <row r="64" spans="1:1" s="18" customFormat="1" x14ac:dyDescent="0.25">
      <c r="A64" s="5" t="s">
        <v>71</v>
      </c>
    </row>
    <row r="65" spans="1:4" x14ac:dyDescent="0.25">
      <c r="A65" s="6"/>
      <c r="B65" s="18"/>
      <c r="C65" s="18"/>
      <c r="D65" s="18"/>
    </row>
    <row r="66" spans="1:4" x14ac:dyDescent="0.25">
      <c r="A66" s="6" t="s">
        <v>72</v>
      </c>
      <c r="B66" s="18"/>
      <c r="C66" s="18"/>
      <c r="D66" s="18"/>
    </row>
    <row r="67" spans="1:4" x14ac:dyDescent="0.25">
      <c r="A67" s="29" t="s">
        <v>73</v>
      </c>
      <c r="B67" s="18"/>
      <c r="C67" s="18"/>
      <c r="D67" s="18"/>
    </row>
    <row r="68" spans="1:4" s="18" customFormat="1" x14ac:dyDescent="0.25">
      <c r="A68" s="11" t="s">
        <v>74</v>
      </c>
    </row>
    <row r="69" spans="1:4" s="18" customFormat="1" x14ac:dyDescent="0.25">
      <c r="A69" s="11" t="s">
        <v>75</v>
      </c>
    </row>
    <row r="70" spans="1:4" s="18" customFormat="1" x14ac:dyDescent="0.25">
      <c r="A70" s="11" t="s">
        <v>76</v>
      </c>
    </row>
    <row r="71" spans="1:4" x14ac:dyDescent="0.25">
      <c r="A71" s="11"/>
      <c r="B71" s="18"/>
      <c r="C71" s="18"/>
      <c r="D71" s="18"/>
    </row>
    <row r="72" spans="1:4" x14ac:dyDescent="0.25">
      <c r="A72" s="6" t="s">
        <v>77</v>
      </c>
      <c r="B72" s="18"/>
      <c r="C72" s="18"/>
      <c r="D72" s="18"/>
    </row>
    <row r="73" spans="1:4" x14ac:dyDescent="0.25">
      <c r="A73" s="5" t="s">
        <v>78</v>
      </c>
      <c r="B73" s="18"/>
      <c r="C73" s="18"/>
      <c r="D73" s="18"/>
    </row>
    <row r="74" spans="1:4" x14ac:dyDescent="0.25">
      <c r="A74" s="5" t="s">
        <v>79</v>
      </c>
      <c r="B74" s="18"/>
      <c r="C74" s="18"/>
      <c r="D74" s="18"/>
    </row>
    <row r="75" spans="1:4" x14ac:dyDescent="0.25">
      <c r="A75" s="5"/>
      <c r="B75" s="1"/>
      <c r="C75" s="1"/>
      <c r="D75" s="1"/>
    </row>
    <row r="76" spans="1:4" x14ac:dyDescent="0.25">
      <c r="A76" s="6" t="s">
        <v>80</v>
      </c>
      <c r="B76" s="1"/>
      <c r="C76" s="1"/>
      <c r="D76" s="1"/>
    </row>
    <row r="77" spans="1:4" x14ac:dyDescent="0.25">
      <c r="A77" s="5" t="s">
        <v>81</v>
      </c>
      <c r="B77" s="18"/>
      <c r="C77" s="18"/>
      <c r="D77" s="18"/>
    </row>
    <row r="78" spans="1:4" x14ac:dyDescent="0.25">
      <c r="A78" s="5"/>
      <c r="B78" s="1"/>
      <c r="C78" s="1"/>
      <c r="D78" s="18"/>
    </row>
    <row r="79" spans="1:4" x14ac:dyDescent="0.25">
      <c r="A79" s="6" t="s">
        <v>82</v>
      </c>
      <c r="B79" s="18"/>
      <c r="C79" s="18"/>
      <c r="D79" s="18"/>
    </row>
    <row r="80" spans="1:4" x14ac:dyDescent="0.25">
      <c r="A80" s="18" t="s">
        <v>83</v>
      </c>
      <c r="B80" s="18"/>
      <c r="C80" s="18"/>
      <c r="D80" s="18"/>
    </row>
    <row r="82" spans="1:4" x14ac:dyDescent="0.25">
      <c r="A82" s="6" t="s">
        <v>84</v>
      </c>
      <c r="B82" s="18"/>
      <c r="C82" s="18"/>
      <c r="D82" s="18"/>
    </row>
    <row r="83" spans="1:4" x14ac:dyDescent="0.25">
      <c r="A83" s="5" t="s">
        <v>85</v>
      </c>
      <c r="B83" s="18" t="s">
        <v>86</v>
      </c>
      <c r="C83" s="18"/>
      <c r="D83" s="18"/>
    </row>
    <row r="84" spans="1:4" s="18" customFormat="1" x14ac:dyDescent="0.25">
      <c r="A84" s="28"/>
    </row>
    <row r="85" spans="1:4" x14ac:dyDescent="0.25">
      <c r="A85" s="6" t="s">
        <v>87</v>
      </c>
      <c r="B85" s="18"/>
      <c r="C85" s="18"/>
      <c r="D85" s="18"/>
    </row>
    <row r="86" spans="1:4" x14ac:dyDescent="0.25">
      <c r="A86" s="18" t="s">
        <v>88</v>
      </c>
      <c r="B86" s="18"/>
      <c r="C86" s="18"/>
      <c r="D86" s="18"/>
    </row>
    <row r="88" spans="1:4" x14ac:dyDescent="0.25">
      <c r="A88" s="6" t="s">
        <v>89</v>
      </c>
      <c r="B88" s="18"/>
      <c r="C88" s="18"/>
      <c r="D88" s="18"/>
    </row>
    <row r="89" spans="1:4" x14ac:dyDescent="0.25">
      <c r="A89" s="18" t="s">
        <v>90</v>
      </c>
      <c r="B89" s="18"/>
      <c r="C89" s="18"/>
      <c r="D89" s="18"/>
    </row>
    <row r="91" spans="1:4" x14ac:dyDescent="0.25">
      <c r="A91" s="6" t="s">
        <v>91</v>
      </c>
      <c r="B91" s="18"/>
      <c r="C91" s="18"/>
      <c r="D91" s="18"/>
    </row>
    <row r="92" spans="1:4" x14ac:dyDescent="0.25">
      <c r="A92" s="18" t="s">
        <v>92</v>
      </c>
      <c r="B92" s="18"/>
      <c r="C92" s="18"/>
      <c r="D92" s="18"/>
    </row>
    <row r="93" spans="1:4" x14ac:dyDescent="0.25">
      <c r="A93" s="18" t="s">
        <v>93</v>
      </c>
      <c r="B93" s="18"/>
      <c r="C93" s="18"/>
      <c r="D93" s="18"/>
    </row>
    <row r="95" spans="1:4" x14ac:dyDescent="0.25">
      <c r="A95" s="6" t="s">
        <v>94</v>
      </c>
      <c r="B95" s="18"/>
      <c r="C95" s="18"/>
      <c r="D95" s="18"/>
    </row>
    <row r="96" spans="1:4" x14ac:dyDescent="0.25">
      <c r="A96" s="18" t="s">
        <v>95</v>
      </c>
      <c r="B96" s="18"/>
      <c r="C96" s="18"/>
      <c r="D96" s="18"/>
    </row>
    <row r="97" spans="1:4" x14ac:dyDescent="0.25">
      <c r="A97" s="18" t="s">
        <v>96</v>
      </c>
      <c r="B97" s="18"/>
      <c r="C97" s="18"/>
      <c r="D97" s="18"/>
    </row>
  </sheetData>
  <sheetProtection algorithmName="SHA-512" hashValue="BYP5l+m5psyaP2achfZUtEIgC9ojJ32Dwi4W4pm4S7/wiNvm/6ksCB2s3GZZTxl2k/bE95rffwHrf2AAjhbTXQ==" saltValue="ELHoPIjA1BUaWk4AdZwAMg==" spinCount="100000" sheet="1" objects="1" scenarios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6BB16-B348-4DE3-B4CA-83266400F019}">
  <dimension ref="A1:A19"/>
  <sheetViews>
    <sheetView workbookViewId="0">
      <selection activeCell="A21" sqref="A21"/>
    </sheetView>
  </sheetViews>
  <sheetFormatPr defaultRowHeight="15" x14ac:dyDescent="0.25"/>
  <cols>
    <col min="1" max="1" width="36.140625" customWidth="1"/>
  </cols>
  <sheetData>
    <row r="1" spans="1:1" x14ac:dyDescent="0.25">
      <c r="A1" s="6" t="s">
        <v>97</v>
      </c>
    </row>
    <row r="3" spans="1:1" x14ac:dyDescent="0.25">
      <c r="A3" s="18" t="s">
        <v>98</v>
      </c>
    </row>
    <row r="4" spans="1:1" x14ac:dyDescent="0.25">
      <c r="A4" s="18" t="s">
        <v>99</v>
      </c>
    </row>
    <row r="6" spans="1:1" x14ac:dyDescent="0.25">
      <c r="A6" s="18" t="s">
        <v>98</v>
      </c>
    </row>
    <row r="7" spans="1:1" x14ac:dyDescent="0.25">
      <c r="A7" s="18" t="s">
        <v>100</v>
      </c>
    </row>
    <row r="9" spans="1:1" x14ac:dyDescent="0.25">
      <c r="A9" s="18" t="s">
        <v>98</v>
      </c>
    </row>
    <row r="10" spans="1:1" x14ac:dyDescent="0.25">
      <c r="A10" s="18" t="s">
        <v>101</v>
      </c>
    </row>
    <row r="12" spans="1:1" x14ac:dyDescent="0.25">
      <c r="A12" s="18" t="s">
        <v>98</v>
      </c>
    </row>
    <row r="13" spans="1:1" x14ac:dyDescent="0.25">
      <c r="A13" s="18" t="s">
        <v>102</v>
      </c>
    </row>
    <row r="15" spans="1:1" x14ac:dyDescent="0.25">
      <c r="A15" s="18" t="s">
        <v>103</v>
      </c>
    </row>
    <row r="16" spans="1:1" x14ac:dyDescent="0.25">
      <c r="A16" s="18" t="s">
        <v>104</v>
      </c>
    </row>
    <row r="18" spans="1:1" x14ac:dyDescent="0.25">
      <c r="A18" s="18" t="s">
        <v>105</v>
      </c>
    </row>
    <row r="19" spans="1:1" x14ac:dyDescent="0.25">
      <c r="A19" s="18" t="s">
        <v>106</v>
      </c>
    </row>
  </sheetData>
  <sheetProtection algorithmName="SHA-512" hashValue="EMOiEobuMiUII1CygXqL9Mq172z182kJ5aPj8pj18Xi/YfGjVvXJlEoC9/rkkKEhTngNA/+L+Ksl9/V5s8+hUg==" saltValue="tI9lPn4kcF4E9LLNkqZNIQ==" spinCount="100000" sheet="1" objects="1" scenario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1C010-1C59-45EF-9C99-F2E6AB94DDDA}">
  <dimension ref="A1:A5"/>
  <sheetViews>
    <sheetView workbookViewId="0">
      <selection activeCell="A21" sqref="A21"/>
    </sheetView>
  </sheetViews>
  <sheetFormatPr defaultRowHeight="15" x14ac:dyDescent="0.25"/>
  <cols>
    <col min="1" max="1" width="36.28515625" customWidth="1"/>
  </cols>
  <sheetData>
    <row r="1" spans="1:1" x14ac:dyDescent="0.25">
      <c r="A1" s="7" t="s">
        <v>107</v>
      </c>
    </row>
    <row r="2" spans="1:1" x14ac:dyDescent="0.25">
      <c r="A2" s="18" t="s">
        <v>108</v>
      </c>
    </row>
    <row r="3" spans="1:1" x14ac:dyDescent="0.25">
      <c r="A3" s="18" t="s">
        <v>109</v>
      </c>
    </row>
    <row r="4" spans="1:1" x14ac:dyDescent="0.25">
      <c r="A4" s="18" t="s">
        <v>110</v>
      </c>
    </row>
    <row r="5" spans="1:1" x14ac:dyDescent="0.25">
      <c r="A5" s="18" t="s">
        <v>111</v>
      </c>
    </row>
  </sheetData>
  <sheetProtection algorithmName="SHA-512" hashValue="EWdJW2cJB6205bDpbzb9HaY5wX6Rmr5TYwCsBoQRz7kT+KJmJ7i90hpiKq/sAW+fGCxmfWG10c6KUOUYDeP67w==" saltValue="LkQhpSH+9Ra0YKHdRX0+Xg==" spinCount="100000" sheet="1" objects="1" scenario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42C68-D3B7-4C42-A6AC-D6FCB7D05FB0}">
  <dimension ref="A1:D18"/>
  <sheetViews>
    <sheetView workbookViewId="0"/>
  </sheetViews>
  <sheetFormatPr defaultRowHeight="15" x14ac:dyDescent="0.25"/>
  <cols>
    <col min="1" max="1" width="36.28515625" customWidth="1"/>
  </cols>
  <sheetData>
    <row r="1" spans="1:4" x14ac:dyDescent="0.25">
      <c r="A1" s="7" t="s">
        <v>112</v>
      </c>
      <c r="B1" s="2"/>
      <c r="C1" s="2"/>
      <c r="D1" s="2"/>
    </row>
    <row r="2" spans="1:4" x14ac:dyDescent="0.25">
      <c r="A2" s="7" t="s">
        <v>113</v>
      </c>
      <c r="B2" s="10"/>
      <c r="C2" s="2"/>
      <c r="D2" s="2"/>
    </row>
    <row r="3" spans="1:4" x14ac:dyDescent="0.25">
      <c r="A3" s="5" t="s">
        <v>114</v>
      </c>
      <c r="B3" s="2"/>
      <c r="C3" s="2"/>
      <c r="D3" s="2"/>
    </row>
    <row r="4" spans="1:4" x14ac:dyDescent="0.25">
      <c r="A4" s="5" t="s">
        <v>115</v>
      </c>
      <c r="B4" s="1"/>
      <c r="C4" s="1"/>
      <c r="D4" s="1"/>
    </row>
    <row r="5" spans="1:4" x14ac:dyDescent="0.25">
      <c r="A5" s="5" t="s">
        <v>116</v>
      </c>
      <c r="B5" s="1"/>
      <c r="C5" s="1"/>
      <c r="D5" s="1"/>
    </row>
    <row r="6" spans="1:4" x14ac:dyDescent="0.25">
      <c r="A6" s="5" t="s">
        <v>117</v>
      </c>
      <c r="B6" s="1"/>
      <c r="C6" s="1"/>
      <c r="D6" s="1"/>
    </row>
    <row r="7" spans="1:4" x14ac:dyDescent="0.25">
      <c r="A7" s="11"/>
      <c r="B7" s="18"/>
      <c r="C7" s="18"/>
      <c r="D7" s="18"/>
    </row>
    <row r="8" spans="1:4" x14ac:dyDescent="0.25">
      <c r="A8" s="7" t="s">
        <v>118</v>
      </c>
      <c r="B8" s="1"/>
      <c r="C8" s="1"/>
      <c r="D8" s="1"/>
    </row>
    <row r="9" spans="1:4" x14ac:dyDescent="0.25">
      <c r="A9" s="5" t="s">
        <v>119</v>
      </c>
      <c r="B9" s="1"/>
      <c r="C9" s="1"/>
      <c r="D9" s="1"/>
    </row>
    <row r="10" spans="1:4" x14ac:dyDescent="0.25">
      <c r="A10" s="5" t="s">
        <v>120</v>
      </c>
      <c r="B10" s="1"/>
      <c r="C10" s="1"/>
      <c r="D10" s="1"/>
    </row>
    <row r="11" spans="1:4" x14ac:dyDescent="0.25">
      <c r="A11" s="5" t="s">
        <v>121</v>
      </c>
      <c r="B11" s="2"/>
      <c r="C11" s="2"/>
      <c r="D11" s="2"/>
    </row>
    <row r="12" spans="1:4" x14ac:dyDescent="0.25">
      <c r="A12" s="5" t="s">
        <v>122</v>
      </c>
      <c r="B12" s="2"/>
      <c r="C12" s="2"/>
      <c r="D12" s="2"/>
    </row>
    <row r="13" spans="1:4" x14ac:dyDescent="0.25">
      <c r="A13" s="5" t="s">
        <v>123</v>
      </c>
      <c r="B13" s="2"/>
      <c r="C13" s="2"/>
      <c r="D13" s="2"/>
    </row>
    <row r="14" spans="1:4" x14ac:dyDescent="0.25">
      <c r="A14" s="1"/>
      <c r="B14" s="18"/>
      <c r="C14" s="18"/>
      <c r="D14" s="18"/>
    </row>
    <row r="15" spans="1:4" x14ac:dyDescent="0.25">
      <c r="A15" s="1"/>
      <c r="B15" s="18"/>
      <c r="C15" s="18"/>
      <c r="D15" s="18"/>
    </row>
    <row r="16" spans="1:4" x14ac:dyDescent="0.25">
      <c r="A16" s="1"/>
      <c r="B16" s="18"/>
      <c r="C16" s="18"/>
      <c r="D16" s="18"/>
    </row>
    <row r="17" spans="1:1" x14ac:dyDescent="0.25">
      <c r="A17" s="1"/>
    </row>
    <row r="18" spans="1:1" x14ac:dyDescent="0.25">
      <c r="A18" s="1"/>
    </row>
  </sheetData>
  <sheetProtection algorithmName="SHA-512" hashValue="Q5KQr+8gkkNpryxH6OZAzOgZ1TsPquMj02MS0UuERt7BNOiVZASf77Q07JKsxmTUZD33oyKNpjl5f6XscwY3Qw==" saltValue="mudzcetGViOOXX+b0aIqQg==" spinCount="100000" sheet="1" objects="1" scenario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4EC36-B2D2-44B7-9BF1-2E46A070D9CE}">
  <dimension ref="A1:A5"/>
  <sheetViews>
    <sheetView workbookViewId="0">
      <selection activeCell="A6" sqref="A6"/>
    </sheetView>
  </sheetViews>
  <sheetFormatPr defaultRowHeight="15" x14ac:dyDescent="0.25"/>
  <cols>
    <col min="1" max="1" width="44" customWidth="1"/>
  </cols>
  <sheetData>
    <row r="1" spans="1:1" x14ac:dyDescent="0.25">
      <c r="A1" s="7" t="s">
        <v>124</v>
      </c>
    </row>
    <row r="2" spans="1:1" x14ac:dyDescent="0.25">
      <c r="A2" s="18" t="s">
        <v>125</v>
      </c>
    </row>
    <row r="3" spans="1:1" x14ac:dyDescent="0.25">
      <c r="A3" s="18" t="s">
        <v>126</v>
      </c>
    </row>
    <row r="4" spans="1:1" x14ac:dyDescent="0.25">
      <c r="A4" s="18" t="s">
        <v>127</v>
      </c>
    </row>
    <row r="5" spans="1:1" x14ac:dyDescent="0.25">
      <c r="A5" s="18" t="s">
        <v>29</v>
      </c>
    </row>
  </sheetData>
  <sheetProtection algorithmName="SHA-512" hashValue="ViVUPYXuEMwgqEK6lhBFEdora+1CPuHXKS/+ViXTvSsIARt5WFlMpFTYBiCXytj2Pw9YXEzCbXNfDJkHozpRbw==" saltValue="bQRMLtSrlfcPdn6IkYjR8g==" spinCount="100000"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06E37-A4EF-4FF6-943E-9C473F50A213}">
  <dimension ref="A1:A26"/>
  <sheetViews>
    <sheetView workbookViewId="0">
      <selection activeCell="A6" sqref="A6"/>
    </sheetView>
  </sheetViews>
  <sheetFormatPr defaultRowHeight="15" x14ac:dyDescent="0.25"/>
  <cols>
    <col min="1" max="1" width="51.42578125" customWidth="1"/>
    <col min="2" max="2" width="21" customWidth="1"/>
  </cols>
  <sheetData>
    <row r="1" spans="1:1" x14ac:dyDescent="0.25">
      <c r="A1" s="6" t="s">
        <v>128</v>
      </c>
    </row>
    <row r="2" spans="1:1" s="18" customFormat="1" x14ac:dyDescent="0.25">
      <c r="A2" s="6"/>
    </row>
    <row r="3" spans="1:1" x14ac:dyDescent="0.25">
      <c r="A3" s="12" t="s">
        <v>129</v>
      </c>
    </row>
    <row r="4" spans="1:1" s="18" customFormat="1" x14ac:dyDescent="0.25">
      <c r="A4" s="5" t="s">
        <v>130</v>
      </c>
    </row>
    <row r="5" spans="1:1" x14ac:dyDescent="0.25">
      <c r="A5" s="9" t="s">
        <v>131</v>
      </c>
    </row>
    <row r="6" spans="1:1" x14ac:dyDescent="0.25">
      <c r="A6" s="5" t="s">
        <v>132</v>
      </c>
    </row>
    <row r="7" spans="1:1" x14ac:dyDescent="0.25">
      <c r="A7" s="5" t="s">
        <v>29</v>
      </c>
    </row>
    <row r="8" spans="1:1" x14ac:dyDescent="0.25">
      <c r="A8" s="12" t="s">
        <v>133</v>
      </c>
    </row>
    <row r="9" spans="1:1" x14ac:dyDescent="0.25">
      <c r="A9" s="5" t="s">
        <v>130</v>
      </c>
    </row>
    <row r="10" spans="1:1" x14ac:dyDescent="0.25">
      <c r="A10" s="9" t="s">
        <v>134</v>
      </c>
    </row>
    <row r="11" spans="1:1" x14ac:dyDescent="0.25">
      <c r="A11" s="5" t="s">
        <v>135</v>
      </c>
    </row>
    <row r="12" spans="1:1" x14ac:dyDescent="0.25">
      <c r="A12" s="18" t="s">
        <v>29</v>
      </c>
    </row>
    <row r="13" spans="1:1" x14ac:dyDescent="0.25">
      <c r="A13" s="12" t="s">
        <v>136</v>
      </c>
    </row>
    <row r="14" spans="1:1" x14ac:dyDescent="0.25">
      <c r="A14" s="5" t="s">
        <v>130</v>
      </c>
    </row>
    <row r="15" spans="1:1" x14ac:dyDescent="0.25">
      <c r="A15" s="9" t="s">
        <v>137</v>
      </c>
    </row>
    <row r="16" spans="1:1" x14ac:dyDescent="0.25">
      <c r="A16" s="11" t="s">
        <v>138</v>
      </c>
    </row>
    <row r="17" spans="1:1" x14ac:dyDescent="0.25">
      <c r="A17" s="11" t="s">
        <v>29</v>
      </c>
    </row>
    <row r="18" spans="1:1" x14ac:dyDescent="0.25">
      <c r="A18" s="33" t="s">
        <v>139</v>
      </c>
    </row>
    <row r="19" spans="1:1" x14ac:dyDescent="0.25">
      <c r="A19" s="5" t="s">
        <v>130</v>
      </c>
    </row>
    <row r="20" spans="1:1" x14ac:dyDescent="0.25">
      <c r="A20" s="9" t="s">
        <v>140</v>
      </c>
    </row>
    <row r="21" spans="1:1" x14ac:dyDescent="0.25">
      <c r="A21" s="11" t="s">
        <v>141</v>
      </c>
    </row>
    <row r="22" spans="1:1" x14ac:dyDescent="0.25">
      <c r="A22" s="18"/>
    </row>
    <row r="23" spans="1:1" x14ac:dyDescent="0.25">
      <c r="A23" s="18"/>
    </row>
    <row r="24" spans="1:1" x14ac:dyDescent="0.25">
      <c r="A24" s="11"/>
    </row>
    <row r="25" spans="1:1" x14ac:dyDescent="0.25">
      <c r="A25" s="18"/>
    </row>
    <row r="26" spans="1:1" x14ac:dyDescent="0.25">
      <c r="A26" s="18"/>
    </row>
  </sheetData>
  <sheetProtection algorithmName="SHA-512" hashValue="Igj0EQDtZC2tswr1DokkHVV9Kf0v8rMeUj7gZdlIzWsdt1wjEWVGAK5l4ueeBnCBIMNlLmuvtNuDbOtqw8s/Rw==" saltValue="RJWGjbJLPw9VVXVnB0y3GA==" spinCount="100000" sheet="1" objects="1" scenarios="1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112E3-EB83-47DC-8011-8720DAAE241A}">
  <dimension ref="A1:A5"/>
  <sheetViews>
    <sheetView workbookViewId="0">
      <selection activeCell="A3" sqref="A3"/>
    </sheetView>
  </sheetViews>
  <sheetFormatPr defaultRowHeight="15" x14ac:dyDescent="0.25"/>
  <cols>
    <col min="1" max="1" width="63.85546875" customWidth="1"/>
  </cols>
  <sheetData>
    <row r="1" spans="1:1" x14ac:dyDescent="0.25">
      <c r="A1" s="6" t="s">
        <v>142</v>
      </c>
    </row>
    <row r="2" spans="1:1" x14ac:dyDescent="0.25">
      <c r="A2" s="6" t="s">
        <v>143</v>
      </c>
    </row>
    <row r="3" spans="1:1" x14ac:dyDescent="0.25">
      <c r="A3" s="5" t="s">
        <v>144</v>
      </c>
    </row>
    <row r="4" spans="1:1" x14ac:dyDescent="0.25">
      <c r="A4" s="5" t="s">
        <v>145</v>
      </c>
    </row>
    <row r="5" spans="1:1" x14ac:dyDescent="0.25">
      <c r="A5" s="5" t="s">
        <v>146</v>
      </c>
    </row>
  </sheetData>
  <sheetProtection algorithmName="SHA-512" hashValue="FF8SqqjnLFnPdoB0TEkSD+yBtgum2tnqcrsJRKcMz3oklquD/geACfjNnjYD2ZaiZqGfxp+SuGT2swLiEtWleQ==" saltValue="JfM0yCYkKFyzewg/lLHRsA==" spinCount="100000" sheet="1" objects="1" scenarios="1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97BD8-D20F-4FE1-8DD5-CBD19C6FAAB6}">
  <dimension ref="A1:C3"/>
  <sheetViews>
    <sheetView workbookViewId="0">
      <selection activeCell="B4" sqref="B4"/>
    </sheetView>
  </sheetViews>
  <sheetFormatPr defaultRowHeight="15" x14ac:dyDescent="0.25"/>
  <cols>
    <col min="1" max="1" width="27.42578125" customWidth="1"/>
    <col min="2" max="2" width="15.28515625" customWidth="1"/>
  </cols>
  <sheetData>
    <row r="1" spans="1:3" x14ac:dyDescent="0.25">
      <c r="A1" s="6" t="s">
        <v>147</v>
      </c>
      <c r="B1" s="5"/>
      <c r="C1" s="5"/>
    </row>
    <row r="2" spans="1:3" x14ac:dyDescent="0.25">
      <c r="A2" s="5" t="s">
        <v>148</v>
      </c>
      <c r="B2" s="5" t="s">
        <v>149</v>
      </c>
      <c r="C2" s="5"/>
    </row>
    <row r="3" spans="1:3" x14ac:dyDescent="0.25">
      <c r="A3" s="5" t="s">
        <v>150</v>
      </c>
      <c r="B3" s="5"/>
      <c r="C3" s="5"/>
    </row>
  </sheetData>
  <sheetProtection algorithmName="SHA-512" hashValue="Re+vbtFxztwzFct1iN21gag3Fz+7TbBYqTzKztTE6J97T8A2l2SHL/iMsZx2a8jnhEZRkdYte/LLrQArXeuGFw==" saltValue="vOZKv6g1nR0Wj0u+lbwiQg==" spinCount="100000" sheet="1" objects="1" scenarios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A5701-4072-4FC3-9671-79F86540497A}">
  <dimension ref="A1:F24"/>
  <sheetViews>
    <sheetView workbookViewId="0">
      <selection activeCell="A25" sqref="A25"/>
    </sheetView>
  </sheetViews>
  <sheetFormatPr defaultRowHeight="15" x14ac:dyDescent="0.25"/>
  <cols>
    <col min="1" max="1" width="52.28515625" customWidth="1"/>
  </cols>
  <sheetData>
    <row r="1" spans="1:6" x14ac:dyDescent="0.25">
      <c r="A1" s="6" t="s">
        <v>151</v>
      </c>
      <c r="B1" s="5"/>
      <c r="C1" s="5"/>
      <c r="D1" s="5"/>
      <c r="E1" s="5"/>
      <c r="F1" s="5"/>
    </row>
    <row r="2" spans="1:6" x14ac:dyDescent="0.25">
      <c r="A2" s="7" t="s">
        <v>152</v>
      </c>
      <c r="B2" s="7"/>
      <c r="C2" s="5"/>
      <c r="D2" s="5"/>
      <c r="E2" s="5"/>
      <c r="F2" s="5"/>
    </row>
    <row r="3" spans="1:6" x14ac:dyDescent="0.25">
      <c r="A3" s="5" t="s">
        <v>153</v>
      </c>
      <c r="B3" s="5"/>
      <c r="C3" s="5"/>
      <c r="D3" s="5"/>
      <c r="E3" s="5"/>
      <c r="F3" s="5"/>
    </row>
    <row r="4" spans="1:6" x14ac:dyDescent="0.25">
      <c r="A4" s="5" t="s">
        <v>154</v>
      </c>
      <c r="B4" s="5"/>
      <c r="C4" s="5"/>
      <c r="D4" s="5"/>
      <c r="E4" s="5"/>
      <c r="F4" s="5"/>
    </row>
    <row r="5" spans="1:6" x14ac:dyDescent="0.25">
      <c r="A5" s="5" t="s">
        <v>155</v>
      </c>
      <c r="B5" s="5"/>
      <c r="C5" s="5"/>
      <c r="D5" s="5"/>
      <c r="E5" s="5"/>
      <c r="F5" s="5"/>
    </row>
    <row r="6" spans="1:6" x14ac:dyDescent="0.25">
      <c r="A6" s="5" t="s">
        <v>156</v>
      </c>
      <c r="B6" s="5"/>
      <c r="C6" s="5"/>
      <c r="D6" s="5"/>
      <c r="E6" s="5"/>
      <c r="F6" s="5"/>
    </row>
    <row r="7" spans="1:6" x14ac:dyDescent="0.25">
      <c r="A7" s="5" t="s">
        <v>157</v>
      </c>
      <c r="B7" s="5"/>
      <c r="C7" s="5"/>
      <c r="D7" s="5"/>
      <c r="E7" s="5"/>
      <c r="F7" s="5"/>
    </row>
    <row r="8" spans="1:6" x14ac:dyDescent="0.25">
      <c r="A8" s="5" t="s">
        <v>158</v>
      </c>
      <c r="B8" s="5"/>
      <c r="C8" s="5"/>
      <c r="D8" s="5"/>
      <c r="E8" s="5"/>
      <c r="F8" s="5"/>
    </row>
    <row r="9" spans="1:6" x14ac:dyDescent="0.25">
      <c r="A9" s="5" t="s">
        <v>159</v>
      </c>
      <c r="B9" s="5"/>
      <c r="C9" s="5"/>
      <c r="D9" s="5"/>
      <c r="E9" s="5"/>
      <c r="F9" s="5"/>
    </row>
    <row r="10" spans="1:6" x14ac:dyDescent="0.25">
      <c r="A10" s="5" t="s">
        <v>160</v>
      </c>
      <c r="B10" s="5"/>
      <c r="C10" s="5"/>
      <c r="D10" s="5"/>
      <c r="E10" s="5"/>
      <c r="F10" s="5"/>
    </row>
    <row r="11" spans="1:6" x14ac:dyDescent="0.25">
      <c r="A11" s="5" t="s">
        <v>161</v>
      </c>
      <c r="B11" s="5"/>
      <c r="C11" s="5"/>
      <c r="D11" s="5"/>
      <c r="E11" s="5"/>
      <c r="F11" s="5"/>
    </row>
    <row r="12" spans="1:6" x14ac:dyDescent="0.25">
      <c r="A12" s="5" t="s">
        <v>162</v>
      </c>
      <c r="B12" s="5"/>
      <c r="C12" s="5"/>
      <c r="D12" s="5"/>
      <c r="E12" s="5"/>
      <c r="F12" s="5"/>
    </row>
    <row r="13" spans="1:6" x14ac:dyDescent="0.25">
      <c r="A13" s="5" t="s">
        <v>163</v>
      </c>
      <c r="B13" s="5"/>
      <c r="C13" s="5"/>
      <c r="D13" s="5"/>
      <c r="E13" s="5"/>
      <c r="F13" s="5"/>
    </row>
    <row r="14" spans="1:6" x14ac:dyDescent="0.25">
      <c r="A14" s="5" t="s">
        <v>164</v>
      </c>
      <c r="B14" s="5"/>
      <c r="C14" s="5"/>
      <c r="D14" s="5"/>
      <c r="E14" s="5"/>
      <c r="F14" s="5"/>
    </row>
    <row r="15" spans="1:6" x14ac:dyDescent="0.25">
      <c r="A15" s="5" t="s">
        <v>165</v>
      </c>
      <c r="B15" s="5"/>
      <c r="C15" s="5"/>
      <c r="D15" s="5"/>
      <c r="E15" s="5"/>
      <c r="F15" s="5"/>
    </row>
    <row r="17" spans="1:4" x14ac:dyDescent="0.25">
      <c r="A17" s="7" t="s">
        <v>166</v>
      </c>
      <c r="B17" s="8"/>
      <c r="C17" s="5"/>
      <c r="D17" s="5"/>
    </row>
    <row r="18" spans="1:4" x14ac:dyDescent="0.25">
      <c r="A18" s="5" t="s">
        <v>167</v>
      </c>
      <c r="B18" s="5"/>
      <c r="C18" s="5"/>
      <c r="D18" s="5"/>
    </row>
    <row r="19" spans="1:4" x14ac:dyDescent="0.25">
      <c r="A19" s="5" t="s">
        <v>168</v>
      </c>
      <c r="B19" s="5"/>
      <c r="C19" s="5"/>
      <c r="D19" s="5"/>
    </row>
    <row r="20" spans="1:4" x14ac:dyDescent="0.25">
      <c r="A20" s="5" t="s">
        <v>169</v>
      </c>
      <c r="B20" s="5"/>
      <c r="C20" s="5"/>
      <c r="D20" s="5"/>
    </row>
    <row r="21" spans="1:4" x14ac:dyDescent="0.25">
      <c r="A21" s="5" t="s">
        <v>45</v>
      </c>
      <c r="B21" s="5"/>
      <c r="C21" s="5"/>
      <c r="D21" s="5"/>
    </row>
    <row r="22" spans="1:4" x14ac:dyDescent="0.25">
      <c r="A22" s="9" t="s">
        <v>170</v>
      </c>
      <c r="B22" s="5"/>
      <c r="C22" s="5"/>
      <c r="D22" s="5"/>
    </row>
    <row r="23" spans="1:4" x14ac:dyDescent="0.25">
      <c r="A23" s="5" t="s">
        <v>171</v>
      </c>
      <c r="B23" s="5"/>
      <c r="C23" s="5"/>
      <c r="D23" s="5"/>
    </row>
    <row r="24" spans="1:4" x14ac:dyDescent="0.25">
      <c r="A24" s="5" t="s">
        <v>48</v>
      </c>
      <c r="B24" s="5"/>
      <c r="C24" s="5"/>
      <c r="D24" s="5"/>
    </row>
  </sheetData>
  <sheetProtection algorithmName="SHA-512" hashValue="OpDF1ToaZsLspLwg7okgv0f7PkggEbnQRkkJoYfjiK89oq73YadIo62gfr8G9bMAjRK3WfMkzm1fgdscgAut4w==" saltValue="IQFCQkMbWcipgRbpTHuKXg==" spinCount="100000" sheet="1" objects="1" scenarios="1"/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57B0B-A2CA-4A18-ACE8-16EA0B7D9284}">
  <dimension ref="A1:D26"/>
  <sheetViews>
    <sheetView workbookViewId="0">
      <selection activeCell="A2" sqref="A2"/>
    </sheetView>
  </sheetViews>
  <sheetFormatPr defaultRowHeight="15" x14ac:dyDescent="0.25"/>
  <cols>
    <col min="1" max="1" width="66" customWidth="1"/>
    <col min="2" max="2" width="22.5703125" customWidth="1"/>
  </cols>
  <sheetData>
    <row r="1" spans="1:4" x14ac:dyDescent="0.25">
      <c r="A1" s="6" t="s">
        <v>172</v>
      </c>
      <c r="B1" s="1"/>
      <c r="C1" s="1"/>
      <c r="D1" s="1"/>
    </row>
    <row r="2" spans="1:4" x14ac:dyDescent="0.25">
      <c r="A2" s="5" t="s">
        <v>173</v>
      </c>
      <c r="B2" s="1"/>
      <c r="C2" s="1"/>
      <c r="D2" s="1"/>
    </row>
    <row r="3" spans="1:4" x14ac:dyDescent="0.25">
      <c r="A3" s="5" t="s">
        <v>174</v>
      </c>
      <c r="B3" s="1"/>
      <c r="C3" s="1"/>
      <c r="D3" s="1"/>
    </row>
    <row r="4" spans="1:4" x14ac:dyDescent="0.25">
      <c r="A4" s="5" t="s">
        <v>175</v>
      </c>
      <c r="B4" s="1" t="s">
        <v>176</v>
      </c>
      <c r="C4" s="1"/>
      <c r="D4" s="1"/>
    </row>
    <row r="5" spans="1:4" x14ac:dyDescent="0.25">
      <c r="A5" s="5" t="s">
        <v>177</v>
      </c>
      <c r="B5" s="1" t="s">
        <v>178</v>
      </c>
      <c r="C5" s="1"/>
      <c r="D5" s="1"/>
    </row>
    <row r="6" spans="1:4" x14ac:dyDescent="0.25">
      <c r="A6" s="5" t="s">
        <v>179</v>
      </c>
      <c r="B6" s="1"/>
      <c r="C6" s="1"/>
      <c r="D6" s="1"/>
    </row>
    <row r="7" spans="1:4" x14ac:dyDescent="0.25">
      <c r="A7" s="5" t="s">
        <v>180</v>
      </c>
      <c r="B7" s="1"/>
      <c r="C7" s="1"/>
      <c r="D7" s="1"/>
    </row>
    <row r="8" spans="1:4" x14ac:dyDescent="0.25">
      <c r="A8" s="5" t="s">
        <v>181</v>
      </c>
      <c r="B8" s="18"/>
      <c r="C8" s="18"/>
      <c r="D8" s="18"/>
    </row>
    <row r="9" spans="1:4" s="18" customFormat="1" x14ac:dyDescent="0.25">
      <c r="A9" s="5"/>
    </row>
    <row r="10" spans="1:4" x14ac:dyDescent="0.25">
      <c r="A10" s="6" t="s">
        <v>182</v>
      </c>
      <c r="B10" s="18"/>
      <c r="C10" s="18"/>
      <c r="D10" s="18"/>
    </row>
    <row r="11" spans="1:4" x14ac:dyDescent="0.25">
      <c r="A11" s="5" t="s">
        <v>173</v>
      </c>
      <c r="B11" s="18"/>
      <c r="C11" s="18"/>
      <c r="D11" s="18"/>
    </row>
    <row r="12" spans="1:4" x14ac:dyDescent="0.25">
      <c r="A12" s="5" t="s">
        <v>174</v>
      </c>
      <c r="B12" s="18"/>
      <c r="C12" s="18"/>
      <c r="D12" s="18"/>
    </row>
    <row r="13" spans="1:4" x14ac:dyDescent="0.25">
      <c r="A13" s="5" t="s">
        <v>183</v>
      </c>
      <c r="B13" s="18" t="s">
        <v>184</v>
      </c>
      <c r="C13" s="18"/>
      <c r="D13" s="18"/>
    </row>
    <row r="14" spans="1:4" x14ac:dyDescent="0.25">
      <c r="A14" s="5" t="s">
        <v>177</v>
      </c>
      <c r="B14" s="18" t="s">
        <v>178</v>
      </c>
      <c r="C14" s="18"/>
      <c r="D14" s="18"/>
    </row>
    <row r="15" spans="1:4" x14ac:dyDescent="0.25">
      <c r="A15" s="5" t="s">
        <v>179</v>
      </c>
      <c r="B15" s="18"/>
      <c r="C15" s="18"/>
      <c r="D15" s="18"/>
    </row>
    <row r="16" spans="1:4" x14ac:dyDescent="0.25">
      <c r="A16" s="5" t="s">
        <v>180</v>
      </c>
      <c r="B16" s="18"/>
      <c r="C16" s="18"/>
      <c r="D16" s="18"/>
    </row>
    <row r="17" spans="1:2" x14ac:dyDescent="0.25">
      <c r="A17" s="5" t="s">
        <v>181</v>
      </c>
      <c r="B17" s="18"/>
    </row>
    <row r="19" spans="1:2" x14ac:dyDescent="0.25">
      <c r="A19" s="6" t="s">
        <v>185</v>
      </c>
      <c r="B19" s="18"/>
    </row>
    <row r="20" spans="1:2" x14ac:dyDescent="0.25">
      <c r="A20" s="5" t="s">
        <v>173</v>
      </c>
      <c r="B20" s="18"/>
    </row>
    <row r="21" spans="1:2" x14ac:dyDescent="0.25">
      <c r="A21" s="5" t="s">
        <v>174</v>
      </c>
      <c r="B21" s="18"/>
    </row>
    <row r="22" spans="1:2" x14ac:dyDescent="0.25">
      <c r="A22" s="5" t="s">
        <v>186</v>
      </c>
      <c r="B22" s="18" t="s">
        <v>187</v>
      </c>
    </row>
    <row r="23" spans="1:2" x14ac:dyDescent="0.25">
      <c r="A23" s="5" t="s">
        <v>183</v>
      </c>
      <c r="B23" s="18" t="s">
        <v>188</v>
      </c>
    </row>
    <row r="24" spans="1:2" x14ac:dyDescent="0.25">
      <c r="A24" s="5" t="s">
        <v>179</v>
      </c>
      <c r="B24" s="18"/>
    </row>
    <row r="25" spans="1:2" x14ac:dyDescent="0.25">
      <c r="A25" s="5" t="s">
        <v>180</v>
      </c>
      <c r="B25" s="18"/>
    </row>
    <row r="26" spans="1:2" x14ac:dyDescent="0.25">
      <c r="A26" s="5" t="s">
        <v>181</v>
      </c>
      <c r="B26" s="18"/>
    </row>
  </sheetData>
  <sheetProtection algorithmName="SHA-512" hashValue="eEpDeaxROKOJ0egq+QbCl+gUclwCRdtgw3IQiG0Qk4r5ERsjwb6aGU1RFhMi92AcxoxjlKJ6lSxjPT8RX8de/Q==" saltValue="+UUaKBALKEXp47wqI2R+Aw==" spinCount="100000" sheet="1" objects="1" scenarios="1"/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725C9-F32B-4964-97F9-F8184193649E}">
  <dimension ref="A1:K87"/>
  <sheetViews>
    <sheetView topLeftCell="A7" workbookViewId="0">
      <selection activeCell="A13" sqref="A13"/>
    </sheetView>
  </sheetViews>
  <sheetFormatPr defaultRowHeight="15" x14ac:dyDescent="0.25"/>
  <cols>
    <col min="1" max="1" width="101.5703125" customWidth="1"/>
    <col min="2" max="2" width="84.28515625" customWidth="1"/>
  </cols>
  <sheetData>
    <row r="1" spans="1:11" x14ac:dyDescent="0.25">
      <c r="A1" s="7" t="s">
        <v>189</v>
      </c>
      <c r="B1" s="5"/>
      <c r="C1" s="5"/>
      <c r="D1" s="5"/>
      <c r="E1" s="5"/>
      <c r="F1" s="5"/>
      <c r="G1" s="5"/>
      <c r="H1" s="5"/>
      <c r="I1" s="5"/>
      <c r="J1" s="5"/>
      <c r="K1" s="5"/>
    </row>
    <row r="2" spans="1:11" s="18" customFormat="1" x14ac:dyDescent="0.25">
      <c r="A2" s="7" t="s">
        <v>29</v>
      </c>
      <c r="B2" s="5"/>
      <c r="C2" s="5"/>
      <c r="D2" s="5"/>
      <c r="E2" s="5"/>
      <c r="F2" s="5"/>
      <c r="G2" s="5"/>
      <c r="H2" s="5"/>
      <c r="I2" s="5"/>
      <c r="J2" s="5"/>
      <c r="K2" s="5"/>
    </row>
    <row r="3" spans="1:11" s="18" customFormat="1" x14ac:dyDescent="0.25">
      <c r="A3" s="11" t="s">
        <v>190</v>
      </c>
      <c r="B3" s="45" t="s">
        <v>191</v>
      </c>
      <c r="C3" s="5"/>
      <c r="D3" s="5"/>
      <c r="E3" s="5"/>
      <c r="F3" s="5"/>
      <c r="G3" s="5"/>
      <c r="H3" s="5"/>
      <c r="I3" s="5"/>
      <c r="J3" s="5"/>
      <c r="K3" s="5"/>
    </row>
    <row r="4" spans="1:11" s="18" customFormat="1" x14ac:dyDescent="0.25">
      <c r="A4" s="11" t="s">
        <v>192</v>
      </c>
      <c r="B4" s="5" t="s">
        <v>193</v>
      </c>
      <c r="C4" s="5"/>
      <c r="D4" s="5"/>
      <c r="E4" s="5"/>
      <c r="F4" s="5"/>
      <c r="G4" s="5"/>
      <c r="H4" s="5"/>
      <c r="I4" s="5"/>
      <c r="J4" s="5"/>
      <c r="K4" s="5"/>
    </row>
    <row r="5" spans="1:11" s="18" customFormat="1" x14ac:dyDescent="0.25">
      <c r="A5" s="11" t="s">
        <v>194</v>
      </c>
      <c r="B5" s="5"/>
      <c r="C5" s="5"/>
      <c r="D5" s="5"/>
      <c r="E5" s="5"/>
      <c r="F5" s="5"/>
      <c r="G5" s="5"/>
      <c r="H5" s="5"/>
      <c r="I5" s="5"/>
      <c r="J5" s="5"/>
      <c r="K5" s="5"/>
    </row>
    <row r="6" spans="1:11" s="18" customFormat="1" x14ac:dyDescent="0.25">
      <c r="A6" s="5" t="s">
        <v>195</v>
      </c>
      <c r="B6" s="5"/>
      <c r="C6" s="5"/>
      <c r="D6" s="5"/>
      <c r="E6" s="5"/>
      <c r="F6" s="5"/>
      <c r="G6" s="5"/>
      <c r="H6" s="5"/>
      <c r="I6" s="5"/>
      <c r="J6" s="5"/>
      <c r="K6" s="5"/>
    </row>
    <row r="7" spans="1:11" s="18" customFormat="1" x14ac:dyDescent="0.25">
      <c r="A7" s="7" t="s">
        <v>29</v>
      </c>
      <c r="B7" s="5"/>
      <c r="C7" s="5"/>
      <c r="D7" s="5"/>
      <c r="E7" s="5"/>
      <c r="F7" s="5"/>
      <c r="G7" s="5"/>
      <c r="H7" s="5"/>
      <c r="I7" s="5"/>
      <c r="J7" s="5"/>
      <c r="K7" s="5"/>
    </row>
    <row r="8" spans="1:11" s="18" customFormat="1" x14ac:dyDescent="0.25">
      <c r="A8" s="11" t="s">
        <v>196</v>
      </c>
      <c r="B8" s="45" t="s">
        <v>197</v>
      </c>
      <c r="C8" s="5"/>
      <c r="D8" s="5"/>
      <c r="E8" s="5"/>
      <c r="F8" s="5"/>
      <c r="G8" s="5"/>
      <c r="H8" s="5"/>
      <c r="I8" s="5"/>
      <c r="J8" s="5"/>
      <c r="K8" s="5"/>
    </row>
    <row r="9" spans="1:11" s="18" customFormat="1" x14ac:dyDescent="0.25">
      <c r="A9" s="11" t="s">
        <v>198</v>
      </c>
      <c r="B9" s="5" t="s">
        <v>199</v>
      </c>
      <c r="C9" s="5"/>
      <c r="D9" s="5"/>
      <c r="E9" s="5"/>
      <c r="F9" s="5"/>
      <c r="G9" s="5"/>
      <c r="H9" s="5"/>
      <c r="I9" s="5"/>
      <c r="J9" s="5"/>
      <c r="K9" s="5"/>
    </row>
    <row r="10" spans="1:11" s="18" customFormat="1" x14ac:dyDescent="0.25">
      <c r="A10" s="11" t="s">
        <v>194</v>
      </c>
      <c r="B10" s="5"/>
      <c r="C10" s="5"/>
      <c r="D10" s="5"/>
      <c r="E10" s="5"/>
      <c r="F10" s="5"/>
      <c r="G10" s="5"/>
      <c r="H10" s="5"/>
      <c r="I10" s="5"/>
      <c r="J10" s="5"/>
      <c r="K10" s="5"/>
    </row>
    <row r="11" spans="1:11" s="18" customFormat="1" x14ac:dyDescent="0.25">
      <c r="A11" s="5" t="s">
        <v>195</v>
      </c>
      <c r="B11" s="5"/>
      <c r="C11" s="5"/>
      <c r="D11" s="5"/>
      <c r="E11" s="5"/>
      <c r="F11" s="5"/>
      <c r="G11" s="5"/>
      <c r="H11" s="5"/>
      <c r="I11" s="5"/>
      <c r="J11" s="5"/>
      <c r="K11" s="5"/>
    </row>
    <row r="12" spans="1:11" s="18" customFormat="1" x14ac:dyDescent="0.25">
      <c r="A12" s="7" t="s">
        <v>29</v>
      </c>
      <c r="B12" s="5"/>
      <c r="C12" s="5"/>
      <c r="D12" s="5"/>
      <c r="E12" s="5"/>
      <c r="F12" s="5"/>
      <c r="G12" s="5"/>
      <c r="H12" s="5"/>
      <c r="I12" s="5"/>
      <c r="J12" s="5"/>
      <c r="K12" s="5"/>
    </row>
    <row r="13" spans="1:11" x14ac:dyDescent="0.25">
      <c r="A13" s="5" t="s">
        <v>200</v>
      </c>
      <c r="B13" s="45" t="s">
        <v>201</v>
      </c>
      <c r="C13" s="5"/>
      <c r="D13" s="5"/>
      <c r="E13" s="5"/>
      <c r="F13" s="5"/>
      <c r="G13" s="5"/>
      <c r="H13" s="5"/>
      <c r="I13" s="5"/>
      <c r="J13" s="5"/>
      <c r="K13" s="5"/>
    </row>
    <row r="14" spans="1:11" x14ac:dyDescent="0.25">
      <c r="A14" s="11" t="s">
        <v>202</v>
      </c>
      <c r="B14" s="5"/>
      <c r="C14" s="5"/>
      <c r="D14" s="5"/>
      <c r="E14" s="5"/>
      <c r="F14" s="5"/>
      <c r="G14" s="5"/>
      <c r="H14" s="5"/>
      <c r="I14" s="5"/>
      <c r="J14" s="5"/>
      <c r="K14" s="5"/>
    </row>
    <row r="15" spans="1:11" s="18" customFormat="1" x14ac:dyDescent="0.25">
      <c r="A15" s="11" t="s">
        <v>203</v>
      </c>
      <c r="B15" s="5"/>
      <c r="C15" s="5"/>
      <c r="D15" s="5"/>
      <c r="E15" s="5"/>
      <c r="F15" s="5"/>
      <c r="G15" s="5"/>
      <c r="H15" s="5"/>
      <c r="I15" s="5"/>
      <c r="J15" s="5"/>
      <c r="K15" s="5"/>
    </row>
    <row r="16" spans="1:11" s="18" customFormat="1" x14ac:dyDescent="0.25">
      <c r="A16" s="5" t="s">
        <v>204</v>
      </c>
      <c r="B16" s="5"/>
      <c r="C16" s="5"/>
      <c r="D16" s="5"/>
      <c r="E16" s="5"/>
      <c r="F16" s="5"/>
      <c r="G16" s="5"/>
      <c r="H16" s="5"/>
      <c r="I16" s="5"/>
      <c r="J16" s="5"/>
      <c r="K16" s="5"/>
    </row>
    <row r="17" spans="1:11" x14ac:dyDescent="0.25">
      <c r="A17" s="7" t="s">
        <v>29</v>
      </c>
      <c r="B17" s="5"/>
      <c r="C17" s="5"/>
      <c r="D17" s="5"/>
      <c r="E17" s="5"/>
      <c r="F17" s="5"/>
      <c r="G17" s="5"/>
      <c r="H17" s="5"/>
      <c r="I17" s="5"/>
      <c r="J17" s="5"/>
      <c r="K17" s="5"/>
    </row>
    <row r="18" spans="1:11" s="18" customFormat="1" x14ac:dyDescent="0.25">
      <c r="A18" s="7" t="s">
        <v>205</v>
      </c>
      <c r="B18" s="5"/>
      <c r="C18" s="5"/>
      <c r="D18" s="5"/>
      <c r="E18" s="5"/>
      <c r="F18" s="5"/>
      <c r="G18" s="5"/>
      <c r="H18" s="5"/>
      <c r="I18" s="5"/>
      <c r="J18" s="5"/>
      <c r="K18" s="5"/>
    </row>
    <row r="19" spans="1:11" s="18" customFormat="1" x14ac:dyDescent="0.25">
      <c r="A19" s="7" t="s">
        <v>29</v>
      </c>
      <c r="B19" s="5"/>
      <c r="C19" s="5"/>
      <c r="D19" s="5"/>
      <c r="E19" s="5"/>
      <c r="F19" s="5"/>
      <c r="G19" s="5"/>
      <c r="H19" s="5"/>
      <c r="I19" s="5"/>
      <c r="J19" s="5"/>
      <c r="K19" s="5"/>
    </row>
    <row r="20" spans="1:11" s="18" customFormat="1" x14ac:dyDescent="0.25">
      <c r="A20" s="5" t="s">
        <v>206</v>
      </c>
      <c r="B20" s="5"/>
      <c r="C20" s="5"/>
      <c r="D20" s="5"/>
      <c r="E20" s="5"/>
      <c r="F20" s="5"/>
      <c r="G20" s="5"/>
      <c r="H20" s="5"/>
      <c r="I20" s="5"/>
      <c r="J20" s="5"/>
      <c r="K20" s="5"/>
    </row>
    <row r="21" spans="1:11" s="18" customFormat="1" x14ac:dyDescent="0.25">
      <c r="A21" s="7" t="s">
        <v>29</v>
      </c>
      <c r="B21" s="5"/>
      <c r="C21" s="5"/>
      <c r="D21" s="5"/>
      <c r="E21" s="5"/>
      <c r="F21" s="5"/>
      <c r="G21" s="5"/>
      <c r="H21" s="5"/>
      <c r="I21" s="5"/>
      <c r="J21" s="5"/>
      <c r="K21" s="5"/>
    </row>
    <row r="22" spans="1:11" s="18" customFormat="1" x14ac:dyDescent="0.25">
      <c r="A22" s="11" t="s">
        <v>207</v>
      </c>
      <c r="B22" s="45" t="s">
        <v>191</v>
      </c>
      <c r="C22" s="5"/>
      <c r="D22" s="5"/>
      <c r="E22" s="5"/>
      <c r="F22" s="5"/>
      <c r="G22" s="5"/>
      <c r="H22" s="5"/>
      <c r="I22" s="5"/>
      <c r="J22" s="5"/>
      <c r="K22" s="5"/>
    </row>
    <row r="23" spans="1:11" s="18" customFormat="1" x14ac:dyDescent="0.25">
      <c r="A23" s="11" t="s">
        <v>208</v>
      </c>
      <c r="B23" s="5" t="s">
        <v>209</v>
      </c>
      <c r="C23" s="5"/>
      <c r="D23" s="5"/>
      <c r="E23" s="5"/>
      <c r="F23" s="5"/>
      <c r="G23" s="5"/>
      <c r="H23" s="5"/>
      <c r="I23" s="5"/>
      <c r="J23" s="5"/>
      <c r="K23" s="5"/>
    </row>
    <row r="24" spans="1:11" s="18" customFormat="1" x14ac:dyDescent="0.25">
      <c r="A24" s="11" t="s">
        <v>194</v>
      </c>
      <c r="B24" s="5"/>
      <c r="C24" s="5"/>
      <c r="D24" s="5"/>
      <c r="E24" s="5"/>
      <c r="F24" s="5"/>
      <c r="G24" s="5"/>
      <c r="H24" s="5"/>
      <c r="I24" s="5"/>
      <c r="J24" s="5"/>
      <c r="K24" s="5"/>
    </row>
    <row r="25" spans="1:11" s="18" customFormat="1" x14ac:dyDescent="0.25">
      <c r="A25" s="5" t="s">
        <v>195</v>
      </c>
      <c r="B25" s="5"/>
      <c r="C25" s="5"/>
      <c r="D25" s="5"/>
      <c r="E25" s="5"/>
      <c r="F25" s="5"/>
      <c r="G25" s="5"/>
      <c r="H25" s="5"/>
      <c r="I25" s="5"/>
      <c r="J25" s="5"/>
      <c r="K25" s="5"/>
    </row>
    <row r="26" spans="1:11" s="18" customFormat="1" x14ac:dyDescent="0.25">
      <c r="A26" s="7" t="s">
        <v>29</v>
      </c>
      <c r="B26" s="5"/>
      <c r="C26" s="5"/>
      <c r="D26" s="5"/>
      <c r="E26" s="5"/>
      <c r="F26" s="5"/>
      <c r="G26" s="5"/>
      <c r="H26" s="5"/>
      <c r="I26" s="5"/>
      <c r="J26" s="5"/>
      <c r="K26" s="5"/>
    </row>
    <row r="27" spans="1:11" s="18" customFormat="1" x14ac:dyDescent="0.25">
      <c r="A27" s="11" t="s">
        <v>190</v>
      </c>
      <c r="B27" s="45" t="s">
        <v>197</v>
      </c>
      <c r="C27" s="5"/>
      <c r="D27" s="5"/>
      <c r="E27" s="5"/>
      <c r="F27" s="5"/>
      <c r="G27" s="5"/>
      <c r="H27" s="5"/>
      <c r="I27" s="5"/>
      <c r="J27" s="5"/>
      <c r="K27" s="5"/>
    </row>
    <row r="28" spans="1:11" s="18" customFormat="1" x14ac:dyDescent="0.25">
      <c r="A28" s="11" t="s">
        <v>192</v>
      </c>
      <c r="B28" s="5" t="s">
        <v>210</v>
      </c>
      <c r="C28" s="5"/>
      <c r="D28" s="5"/>
      <c r="E28" s="5"/>
      <c r="F28" s="5"/>
      <c r="G28" s="5"/>
      <c r="H28" s="5"/>
      <c r="I28" s="5"/>
      <c r="J28" s="5"/>
      <c r="K28" s="5"/>
    </row>
    <row r="29" spans="1:11" s="18" customFormat="1" x14ac:dyDescent="0.25">
      <c r="A29" s="11" t="s">
        <v>194</v>
      </c>
      <c r="B29" s="5"/>
      <c r="C29" s="5"/>
      <c r="D29" s="5"/>
      <c r="E29" s="5"/>
      <c r="F29" s="5"/>
      <c r="G29" s="5"/>
      <c r="H29" s="5"/>
      <c r="I29" s="5"/>
      <c r="J29" s="5"/>
      <c r="K29" s="5"/>
    </row>
    <row r="30" spans="1:11" s="18" customFormat="1" x14ac:dyDescent="0.25">
      <c r="A30" s="5" t="s">
        <v>195</v>
      </c>
      <c r="B30" s="5"/>
      <c r="C30" s="5"/>
      <c r="D30" s="5"/>
      <c r="E30" s="5"/>
      <c r="F30" s="5"/>
      <c r="G30" s="5"/>
      <c r="H30" s="5"/>
      <c r="I30" s="5"/>
      <c r="J30" s="5"/>
      <c r="K30" s="5"/>
    </row>
    <row r="31" spans="1:11" s="18" customFormat="1" x14ac:dyDescent="0.25">
      <c r="A31" s="7" t="s">
        <v>29</v>
      </c>
      <c r="B31" s="5"/>
      <c r="C31" s="5"/>
      <c r="D31" s="5"/>
      <c r="E31" s="5"/>
      <c r="F31" s="5"/>
      <c r="G31" s="5"/>
      <c r="H31" s="5"/>
      <c r="I31" s="5"/>
      <c r="J31" s="5"/>
      <c r="K31" s="5"/>
    </row>
    <row r="32" spans="1:11" s="18" customFormat="1" x14ac:dyDescent="0.25">
      <c r="A32" s="5" t="s">
        <v>200</v>
      </c>
      <c r="B32" s="45" t="s">
        <v>201</v>
      </c>
      <c r="C32" s="5"/>
      <c r="D32" s="5"/>
      <c r="E32" s="5"/>
      <c r="F32" s="5"/>
      <c r="G32" s="5"/>
      <c r="H32" s="5"/>
      <c r="I32" s="5"/>
      <c r="J32" s="5"/>
      <c r="K32" s="5"/>
    </row>
    <row r="33" spans="1:11" s="18" customFormat="1" x14ac:dyDescent="0.25">
      <c r="A33" s="11" t="s">
        <v>211</v>
      </c>
      <c r="B33" s="5"/>
      <c r="C33" s="5"/>
      <c r="D33" s="5"/>
      <c r="E33" s="5"/>
      <c r="F33" s="5"/>
      <c r="G33" s="5"/>
      <c r="H33" s="5"/>
      <c r="I33" s="5"/>
      <c r="J33" s="5"/>
      <c r="K33" s="5"/>
    </row>
    <row r="34" spans="1:11" s="18" customFormat="1" x14ac:dyDescent="0.25">
      <c r="A34" s="11" t="s">
        <v>202</v>
      </c>
      <c r="B34" s="5"/>
      <c r="C34" s="5"/>
      <c r="D34" s="5"/>
      <c r="E34" s="5"/>
      <c r="F34" s="5"/>
      <c r="G34" s="5"/>
      <c r="H34" s="5"/>
      <c r="I34" s="5"/>
      <c r="J34" s="5"/>
      <c r="K34" s="5"/>
    </row>
    <row r="35" spans="1:11" s="18" customFormat="1" x14ac:dyDescent="0.25">
      <c r="A35" s="7" t="s">
        <v>29</v>
      </c>
      <c r="B35" s="5"/>
      <c r="C35" s="5"/>
      <c r="D35" s="5"/>
      <c r="E35" s="5"/>
      <c r="F35" s="5"/>
      <c r="G35" s="5"/>
      <c r="H35" s="5"/>
      <c r="I35" s="5"/>
      <c r="J35" s="5"/>
      <c r="K35" s="5"/>
    </row>
    <row r="36" spans="1:11" s="18" customFormat="1" x14ac:dyDescent="0.25">
      <c r="A36" s="7" t="s">
        <v>212</v>
      </c>
      <c r="B36" s="5"/>
      <c r="C36" s="5"/>
      <c r="D36" s="5"/>
      <c r="E36" s="5"/>
      <c r="F36" s="5"/>
      <c r="G36" s="5"/>
      <c r="H36" s="5"/>
      <c r="I36" s="5"/>
      <c r="J36" s="5"/>
      <c r="K36" s="5"/>
    </row>
    <row r="37" spans="1:11" s="18" customFormat="1" x14ac:dyDescent="0.25">
      <c r="A37" s="7" t="s">
        <v>29</v>
      </c>
      <c r="B37" s="5"/>
      <c r="C37" s="5"/>
      <c r="D37" s="5"/>
      <c r="E37" s="5"/>
      <c r="F37" s="5"/>
      <c r="G37" s="5"/>
      <c r="H37" s="5"/>
      <c r="I37" s="5"/>
      <c r="J37" s="5"/>
      <c r="K37" s="5"/>
    </row>
    <row r="38" spans="1:11" s="18" customFormat="1" x14ac:dyDescent="0.25">
      <c r="A38" s="5" t="s">
        <v>206</v>
      </c>
      <c r="B38" s="5"/>
      <c r="C38" s="5"/>
      <c r="D38" s="5"/>
      <c r="E38" s="5"/>
      <c r="F38" s="5"/>
      <c r="G38" s="5"/>
      <c r="H38" s="5"/>
      <c r="I38" s="5"/>
      <c r="J38" s="5"/>
      <c r="K38" s="5"/>
    </row>
    <row r="39" spans="1:11" s="18" customFormat="1" x14ac:dyDescent="0.25">
      <c r="A39" s="7" t="s">
        <v>29</v>
      </c>
      <c r="B39" s="5"/>
      <c r="C39" s="5"/>
      <c r="D39" s="5"/>
      <c r="E39" s="5"/>
      <c r="F39" s="5"/>
      <c r="G39" s="5"/>
      <c r="H39" s="5"/>
      <c r="I39" s="5"/>
      <c r="J39" s="5"/>
      <c r="K39" s="5"/>
    </row>
    <row r="40" spans="1:11" s="18" customFormat="1" x14ac:dyDescent="0.25">
      <c r="A40" s="11" t="s">
        <v>213</v>
      </c>
      <c r="B40" s="45" t="s">
        <v>191</v>
      </c>
      <c r="C40" s="5"/>
      <c r="D40" s="5"/>
      <c r="E40" s="5"/>
      <c r="F40" s="5"/>
      <c r="G40" s="5"/>
      <c r="H40" s="5"/>
      <c r="I40" s="5"/>
      <c r="J40" s="5"/>
      <c r="K40" s="5"/>
    </row>
    <row r="41" spans="1:11" s="18" customFormat="1" x14ac:dyDescent="0.25">
      <c r="A41" s="11" t="s">
        <v>214</v>
      </c>
      <c r="B41" s="5" t="s">
        <v>215</v>
      </c>
      <c r="C41" s="5"/>
      <c r="D41" s="5"/>
      <c r="E41" s="5"/>
      <c r="F41" s="5"/>
      <c r="G41" s="5"/>
      <c r="H41" s="5"/>
      <c r="I41" s="5"/>
      <c r="J41" s="5"/>
      <c r="K41" s="5"/>
    </row>
    <row r="42" spans="1:11" s="18" customFormat="1" x14ac:dyDescent="0.25">
      <c r="A42" s="11" t="s">
        <v>194</v>
      </c>
      <c r="B42" s="5"/>
      <c r="C42" s="5"/>
      <c r="D42" s="5"/>
      <c r="E42" s="5"/>
      <c r="F42" s="5"/>
      <c r="G42" s="5"/>
      <c r="H42" s="5"/>
      <c r="I42" s="5"/>
      <c r="J42" s="5"/>
      <c r="K42" s="5"/>
    </row>
    <row r="43" spans="1:11" s="18" customFormat="1" x14ac:dyDescent="0.25">
      <c r="A43" s="5" t="s">
        <v>195</v>
      </c>
      <c r="B43" s="5"/>
      <c r="C43" s="5"/>
      <c r="D43" s="5"/>
      <c r="E43" s="5"/>
      <c r="F43" s="5"/>
      <c r="G43" s="5"/>
      <c r="H43" s="5"/>
      <c r="I43" s="5"/>
      <c r="J43" s="5"/>
      <c r="K43" s="5"/>
    </row>
    <row r="44" spans="1:11" s="18" customFormat="1" x14ac:dyDescent="0.25">
      <c r="A44" s="7" t="s">
        <v>29</v>
      </c>
      <c r="B44" s="5"/>
      <c r="C44" s="5"/>
      <c r="D44" s="5"/>
      <c r="E44" s="5"/>
      <c r="F44" s="5"/>
      <c r="G44" s="5"/>
      <c r="H44" s="5"/>
      <c r="I44" s="5"/>
      <c r="J44" s="5"/>
      <c r="K44" s="5"/>
    </row>
    <row r="45" spans="1:11" s="18" customFormat="1" x14ac:dyDescent="0.25">
      <c r="A45" s="11" t="s">
        <v>216</v>
      </c>
      <c r="B45" s="45" t="s">
        <v>197</v>
      </c>
      <c r="C45" s="5"/>
      <c r="D45" s="5"/>
      <c r="E45" s="5"/>
      <c r="F45" s="5"/>
      <c r="G45" s="5"/>
      <c r="H45" s="5"/>
      <c r="I45" s="5"/>
      <c r="J45" s="5"/>
      <c r="K45" s="5"/>
    </row>
    <row r="46" spans="1:11" s="18" customFormat="1" x14ac:dyDescent="0.25">
      <c r="A46" s="11" t="s">
        <v>217</v>
      </c>
      <c r="B46" s="5" t="s">
        <v>218</v>
      </c>
      <c r="C46" s="5"/>
      <c r="D46" s="5"/>
      <c r="E46" s="5"/>
      <c r="F46" s="5"/>
      <c r="G46" s="5"/>
      <c r="H46" s="5"/>
      <c r="I46" s="5"/>
      <c r="J46" s="5"/>
      <c r="K46" s="5"/>
    </row>
    <row r="47" spans="1:11" s="18" customFormat="1" x14ac:dyDescent="0.25">
      <c r="A47" s="11" t="s">
        <v>194</v>
      </c>
      <c r="B47" s="5"/>
      <c r="C47" s="5"/>
      <c r="D47" s="5"/>
      <c r="E47" s="5"/>
      <c r="F47" s="5"/>
      <c r="G47" s="5"/>
      <c r="H47" s="5"/>
      <c r="I47" s="5"/>
      <c r="J47" s="5"/>
      <c r="K47" s="5"/>
    </row>
    <row r="48" spans="1:11" s="18" customFormat="1" x14ac:dyDescent="0.25">
      <c r="A48" s="5" t="s">
        <v>195</v>
      </c>
      <c r="B48" s="5"/>
      <c r="C48" s="5"/>
      <c r="D48" s="5"/>
      <c r="E48" s="5"/>
      <c r="F48" s="5"/>
      <c r="G48" s="5"/>
      <c r="H48" s="5"/>
      <c r="I48" s="5"/>
      <c r="J48" s="5"/>
      <c r="K48" s="5"/>
    </row>
    <row r="49" spans="1:11" s="18" customFormat="1" x14ac:dyDescent="0.25">
      <c r="A49" s="7" t="s">
        <v>29</v>
      </c>
      <c r="B49" s="5"/>
      <c r="C49" s="5"/>
      <c r="D49" s="5"/>
      <c r="E49" s="5"/>
      <c r="F49" s="5"/>
      <c r="G49" s="5"/>
      <c r="H49" s="5"/>
      <c r="I49" s="5"/>
      <c r="J49" s="5"/>
      <c r="K49" s="5"/>
    </row>
    <row r="50" spans="1:11" s="18" customFormat="1" x14ac:dyDescent="0.25">
      <c r="A50" s="11" t="s">
        <v>196</v>
      </c>
      <c r="B50" s="45" t="s">
        <v>197</v>
      </c>
      <c r="C50" s="5"/>
      <c r="D50" s="5"/>
      <c r="E50" s="5"/>
      <c r="F50" s="5"/>
      <c r="G50" s="5"/>
      <c r="H50" s="5"/>
      <c r="I50" s="5"/>
      <c r="J50" s="5"/>
      <c r="K50" s="5"/>
    </row>
    <row r="51" spans="1:11" s="18" customFormat="1" x14ac:dyDescent="0.25">
      <c r="A51" s="11" t="s">
        <v>198</v>
      </c>
      <c r="B51" s="5" t="s">
        <v>199</v>
      </c>
      <c r="C51" s="5"/>
      <c r="D51" s="5"/>
      <c r="E51" s="5"/>
      <c r="F51" s="5"/>
      <c r="G51" s="5"/>
      <c r="H51" s="5"/>
      <c r="I51" s="5"/>
      <c r="J51" s="5"/>
      <c r="K51" s="5"/>
    </row>
    <row r="52" spans="1:11" s="18" customFormat="1" x14ac:dyDescent="0.25">
      <c r="A52" s="11" t="s">
        <v>194</v>
      </c>
      <c r="B52" s="5"/>
      <c r="C52" s="5"/>
      <c r="D52" s="5"/>
      <c r="E52" s="5"/>
      <c r="F52" s="5"/>
      <c r="G52" s="5"/>
      <c r="H52" s="5"/>
      <c r="I52" s="5"/>
      <c r="J52" s="5"/>
      <c r="K52" s="5"/>
    </row>
    <row r="53" spans="1:11" s="18" customFormat="1" x14ac:dyDescent="0.25">
      <c r="A53" s="5" t="s">
        <v>195</v>
      </c>
      <c r="B53" s="5"/>
      <c r="C53" s="5"/>
      <c r="D53" s="5"/>
      <c r="E53" s="5"/>
      <c r="F53" s="5"/>
      <c r="G53" s="5"/>
      <c r="H53" s="5"/>
      <c r="I53" s="5"/>
      <c r="J53" s="5"/>
      <c r="K53" s="5"/>
    </row>
    <row r="54" spans="1:11" s="18" customFormat="1" x14ac:dyDescent="0.25">
      <c r="A54" s="7" t="s">
        <v>29</v>
      </c>
      <c r="B54" s="5"/>
      <c r="C54" s="5"/>
      <c r="D54" s="5"/>
      <c r="E54" s="5"/>
      <c r="F54" s="5"/>
      <c r="G54" s="5"/>
      <c r="H54" s="5"/>
      <c r="I54" s="5"/>
      <c r="J54" s="5"/>
      <c r="K54" s="5"/>
    </row>
    <row r="55" spans="1:11" s="18" customFormat="1" x14ac:dyDescent="0.25">
      <c r="A55" s="5" t="s">
        <v>200</v>
      </c>
      <c r="B55" s="45" t="s">
        <v>201</v>
      </c>
      <c r="C55" s="5"/>
      <c r="D55" s="5"/>
      <c r="E55" s="5"/>
      <c r="F55" s="5"/>
      <c r="G55" s="5"/>
      <c r="H55" s="5"/>
      <c r="I55" s="5"/>
      <c r="J55" s="5"/>
      <c r="K55" s="5"/>
    </row>
    <row r="56" spans="1:11" s="18" customFormat="1" x14ac:dyDescent="0.25">
      <c r="A56" s="11" t="s">
        <v>219</v>
      </c>
      <c r="B56" s="5"/>
      <c r="C56" s="5"/>
      <c r="D56" s="5"/>
      <c r="E56" s="5"/>
      <c r="F56" s="5"/>
      <c r="G56" s="5"/>
      <c r="H56" s="5"/>
      <c r="I56" s="5"/>
      <c r="J56" s="5"/>
      <c r="K56" s="5"/>
    </row>
    <row r="57" spans="1:11" s="18" customFormat="1" x14ac:dyDescent="0.25">
      <c r="A57" s="11" t="s">
        <v>220</v>
      </c>
      <c r="B57" s="5"/>
      <c r="C57" s="5"/>
      <c r="D57" s="5"/>
      <c r="E57" s="5"/>
      <c r="F57" s="5"/>
      <c r="G57" s="5"/>
      <c r="H57" s="5"/>
      <c r="I57" s="5"/>
      <c r="J57" s="5"/>
      <c r="K57" s="5"/>
    </row>
    <row r="58" spans="1:11" s="18" customFormat="1" x14ac:dyDescent="0.25">
      <c r="A58" s="11" t="s">
        <v>203</v>
      </c>
      <c r="B58" s="5"/>
      <c r="C58" s="5"/>
      <c r="D58" s="5"/>
      <c r="E58" s="5"/>
      <c r="F58" s="5"/>
      <c r="G58" s="5"/>
      <c r="H58" s="5"/>
      <c r="I58" s="5"/>
      <c r="J58" s="5"/>
      <c r="K58" s="5"/>
    </row>
    <row r="59" spans="1:11" s="18" customFormat="1" x14ac:dyDescent="0.25">
      <c r="A59" s="7" t="s">
        <v>29</v>
      </c>
      <c r="B59" s="5"/>
      <c r="C59" s="5"/>
      <c r="D59" s="5"/>
      <c r="E59" s="5"/>
      <c r="F59" s="5"/>
      <c r="G59" s="5"/>
      <c r="H59" s="5"/>
      <c r="I59" s="5"/>
      <c r="J59" s="5"/>
      <c r="K59" s="5"/>
    </row>
    <row r="60" spans="1:11" s="18" customFormat="1" x14ac:dyDescent="0.25">
      <c r="A60" s="7"/>
      <c r="B60" s="5"/>
      <c r="C60" s="5"/>
      <c r="D60" s="5"/>
      <c r="E60" s="5"/>
      <c r="F60" s="5"/>
      <c r="G60" s="5"/>
      <c r="H60" s="5"/>
      <c r="I60" s="5"/>
      <c r="J60" s="5"/>
      <c r="K60" s="5"/>
    </row>
    <row r="61" spans="1:11" x14ac:dyDescent="0.25">
      <c r="A61" s="7" t="s">
        <v>221</v>
      </c>
      <c r="B61" s="45" t="s">
        <v>222</v>
      </c>
      <c r="C61" s="5"/>
      <c r="D61" s="5"/>
      <c r="E61" s="5"/>
      <c r="F61" s="5"/>
      <c r="G61" s="5"/>
      <c r="H61" s="5"/>
      <c r="I61" s="5"/>
      <c r="J61" s="5"/>
      <c r="K61" s="5"/>
    </row>
    <row r="62" spans="1:11" x14ac:dyDescent="0.25">
      <c r="A62" s="17" t="s">
        <v>223</v>
      </c>
      <c r="B62" s="5"/>
      <c r="C62" s="5"/>
      <c r="D62" s="5"/>
      <c r="E62" s="5"/>
      <c r="F62" s="5"/>
      <c r="G62" s="5"/>
      <c r="H62" s="5"/>
      <c r="I62" s="5"/>
      <c r="J62" s="5"/>
      <c r="K62" s="5"/>
    </row>
    <row r="63" spans="1:11" x14ac:dyDescent="0.25">
      <c r="A63" s="17" t="s">
        <v>224</v>
      </c>
      <c r="B63" s="5"/>
      <c r="C63" s="5"/>
      <c r="D63" s="5"/>
      <c r="E63" s="5"/>
      <c r="F63" s="5"/>
      <c r="G63" s="5"/>
      <c r="H63" s="5"/>
      <c r="I63" s="5"/>
      <c r="J63" s="5"/>
      <c r="K63" s="5"/>
    </row>
    <row r="64" spans="1:11" x14ac:dyDescent="0.25">
      <c r="A64" s="17" t="s">
        <v>225</v>
      </c>
      <c r="B64" s="5"/>
      <c r="C64" s="5"/>
      <c r="D64" s="5"/>
      <c r="E64" s="5"/>
      <c r="F64" s="5"/>
      <c r="G64" s="5"/>
      <c r="H64" s="5"/>
      <c r="I64" s="5"/>
      <c r="J64" s="5"/>
      <c r="K64" s="5"/>
    </row>
    <row r="65" spans="1:11" x14ac:dyDescent="0.25">
      <c r="A65" s="17" t="s">
        <v>226</v>
      </c>
      <c r="B65" s="5"/>
      <c r="C65" s="5"/>
      <c r="D65" s="5"/>
      <c r="E65" s="5"/>
      <c r="F65" s="5"/>
      <c r="G65" s="5"/>
      <c r="H65" s="5"/>
      <c r="I65" s="5"/>
      <c r="J65" s="5"/>
      <c r="K65" s="5"/>
    </row>
    <row r="66" spans="1:11" x14ac:dyDescent="0.25">
      <c r="A66" s="17" t="s">
        <v>227</v>
      </c>
      <c r="B66" s="5"/>
      <c r="C66" s="5"/>
      <c r="D66" s="5"/>
      <c r="E66" s="5"/>
      <c r="F66" s="5"/>
      <c r="G66" s="5"/>
      <c r="H66" s="5"/>
      <c r="I66" s="5"/>
      <c r="J66" s="5"/>
      <c r="K66" s="5"/>
    </row>
    <row r="67" spans="1:11" x14ac:dyDescent="0.25">
      <c r="A67" s="17" t="s">
        <v>228</v>
      </c>
      <c r="B67" s="5"/>
      <c r="C67" s="5"/>
      <c r="D67" s="5"/>
      <c r="E67" s="5"/>
      <c r="F67" s="5"/>
      <c r="G67" s="5"/>
      <c r="H67" s="5"/>
      <c r="I67" s="5"/>
      <c r="J67" s="5"/>
      <c r="K67" s="5"/>
    </row>
    <row r="68" spans="1:11" x14ac:dyDescent="0.25">
      <c r="A68" s="5" t="s">
        <v>229</v>
      </c>
      <c r="B68" s="5"/>
      <c r="C68" s="5"/>
      <c r="D68" s="5"/>
      <c r="E68" s="5"/>
      <c r="F68" s="5"/>
      <c r="G68" s="5"/>
      <c r="H68" s="5"/>
      <c r="I68" s="5"/>
      <c r="J68" s="5"/>
      <c r="K68" s="5"/>
    </row>
    <row r="70" spans="1:11" x14ac:dyDescent="0.25">
      <c r="A70" s="7" t="s">
        <v>230</v>
      </c>
      <c r="B70" s="35" t="s">
        <v>231</v>
      </c>
      <c r="C70" s="18"/>
      <c r="D70" s="18"/>
      <c r="E70" s="18"/>
      <c r="F70" s="18"/>
      <c r="G70" s="18"/>
      <c r="H70" s="18"/>
      <c r="I70" s="18"/>
      <c r="J70" s="18"/>
      <c r="K70" s="18"/>
    </row>
    <row r="71" spans="1:11" x14ac:dyDescent="0.25">
      <c r="A71" s="11" t="s">
        <v>232</v>
      </c>
      <c r="B71" s="44" t="s">
        <v>233</v>
      </c>
      <c r="C71" s="18"/>
      <c r="D71" s="18"/>
      <c r="E71" s="18"/>
      <c r="F71" s="18"/>
      <c r="G71" s="18"/>
      <c r="H71" s="18"/>
      <c r="I71" s="18"/>
      <c r="J71" s="18"/>
      <c r="K71" s="18"/>
    </row>
    <row r="72" spans="1:11" x14ac:dyDescent="0.25">
      <c r="A72" s="11" t="s">
        <v>234</v>
      </c>
      <c r="B72" s="18"/>
      <c r="C72" s="18"/>
      <c r="D72" s="18"/>
      <c r="E72" s="18"/>
      <c r="F72" s="18"/>
      <c r="G72" s="18"/>
      <c r="H72" s="18"/>
      <c r="I72" s="18"/>
      <c r="J72" s="18"/>
      <c r="K72" s="18"/>
    </row>
    <row r="73" spans="1:11" x14ac:dyDescent="0.25">
      <c r="A73" s="11" t="s">
        <v>225</v>
      </c>
      <c r="B73" s="18"/>
      <c r="C73" s="18"/>
      <c r="D73" s="18"/>
      <c r="E73" s="18"/>
      <c r="F73" s="18"/>
      <c r="G73" s="18"/>
      <c r="H73" s="18"/>
      <c r="I73" s="18"/>
      <c r="J73" s="18"/>
      <c r="K73" s="18"/>
    </row>
    <row r="74" spans="1:11" x14ac:dyDescent="0.25">
      <c r="A74" s="11" t="s">
        <v>235</v>
      </c>
      <c r="B74" s="18"/>
      <c r="C74" s="18"/>
      <c r="D74" s="18"/>
      <c r="E74" s="18"/>
      <c r="F74" s="18"/>
      <c r="G74" s="18"/>
      <c r="H74" s="18"/>
      <c r="I74" s="18"/>
      <c r="J74" s="18"/>
      <c r="K74" s="18"/>
    </row>
    <row r="75" spans="1:11" x14ac:dyDescent="0.25">
      <c r="A75" s="11" t="s">
        <v>236</v>
      </c>
      <c r="B75" s="18"/>
      <c r="C75" s="18"/>
      <c r="D75" s="18"/>
      <c r="E75" s="18"/>
      <c r="F75" s="18"/>
      <c r="G75" s="18"/>
      <c r="H75" s="18"/>
      <c r="I75" s="18"/>
      <c r="J75" s="18"/>
      <c r="K75" s="18"/>
    </row>
    <row r="76" spans="1:11" x14ac:dyDescent="0.25">
      <c r="A76" s="11" t="s">
        <v>237</v>
      </c>
      <c r="B76" s="18"/>
      <c r="C76" s="18"/>
      <c r="D76" s="18"/>
      <c r="E76" s="18"/>
      <c r="F76" s="18"/>
      <c r="G76" s="18"/>
      <c r="H76" s="18"/>
      <c r="I76" s="18"/>
      <c r="J76" s="18"/>
      <c r="K76" s="18"/>
    </row>
    <row r="77" spans="1:11" x14ac:dyDescent="0.25">
      <c r="A77" s="11" t="s">
        <v>238</v>
      </c>
      <c r="B77" s="18"/>
      <c r="C77" s="18"/>
      <c r="D77" s="18"/>
      <c r="E77" s="18"/>
      <c r="F77" s="18"/>
      <c r="G77" s="18"/>
      <c r="H77" s="18"/>
      <c r="I77" s="18"/>
      <c r="J77" s="18"/>
      <c r="K77" s="18"/>
    </row>
    <row r="78" spans="1:11" x14ac:dyDescent="0.25">
      <c r="A78" s="11" t="s">
        <v>239</v>
      </c>
      <c r="B78" s="18"/>
      <c r="C78" s="18"/>
      <c r="D78" s="18"/>
      <c r="E78" s="18"/>
      <c r="F78" s="18"/>
      <c r="G78" s="18"/>
      <c r="H78" s="18"/>
      <c r="I78" s="18"/>
      <c r="J78" s="18"/>
      <c r="K78" s="18"/>
    </row>
    <row r="79" spans="1:11" x14ac:dyDescent="0.25">
      <c r="A79" s="11" t="s">
        <v>240</v>
      </c>
      <c r="B79" s="18"/>
      <c r="C79" s="18"/>
      <c r="D79" s="18"/>
      <c r="E79" s="18"/>
      <c r="F79" s="18"/>
      <c r="G79" s="18"/>
      <c r="H79" s="18"/>
      <c r="I79" s="18"/>
      <c r="J79" s="18"/>
      <c r="K79" s="18"/>
    </row>
    <row r="80" spans="1:11" x14ac:dyDescent="0.25">
      <c r="A80" s="11" t="s">
        <v>241</v>
      </c>
      <c r="B80" s="18"/>
      <c r="C80" s="18"/>
      <c r="D80" s="18"/>
      <c r="E80" s="18"/>
      <c r="F80" s="18"/>
      <c r="G80" s="18"/>
      <c r="H80" s="18"/>
      <c r="I80" s="18"/>
      <c r="J80" s="18"/>
      <c r="K80" s="18"/>
    </row>
    <row r="81" spans="1:2" x14ac:dyDescent="0.25">
      <c r="A81" s="11" t="s">
        <v>242</v>
      </c>
      <c r="B81" s="18"/>
    </row>
    <row r="82" spans="1:2" x14ac:dyDescent="0.25">
      <c r="A82" s="11" t="s">
        <v>243</v>
      </c>
      <c r="B82" s="18"/>
    </row>
    <row r="83" spans="1:2" x14ac:dyDescent="0.25">
      <c r="A83" s="11" t="s">
        <v>244</v>
      </c>
      <c r="B83" s="18"/>
    </row>
    <row r="84" spans="1:2" x14ac:dyDescent="0.25">
      <c r="A84" s="11" t="s">
        <v>245</v>
      </c>
      <c r="B84" s="18"/>
    </row>
    <row r="85" spans="1:2" x14ac:dyDescent="0.25">
      <c r="A85" s="11" t="s">
        <v>246</v>
      </c>
      <c r="B85" s="18"/>
    </row>
    <row r="86" spans="1:2" x14ac:dyDescent="0.25">
      <c r="A86" s="18" t="s">
        <v>247</v>
      </c>
      <c r="B86" s="18" t="s">
        <v>248</v>
      </c>
    </row>
    <row r="87" spans="1:2" x14ac:dyDescent="0.25">
      <c r="A87" s="18"/>
      <c r="B87" s="18" t="s">
        <v>249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E9E3-E424-4501-97B3-0431CDB58163}">
  <dimension ref="A1:B72"/>
  <sheetViews>
    <sheetView tabSelected="1" workbookViewId="0">
      <selection activeCell="A48" sqref="A48"/>
    </sheetView>
  </sheetViews>
  <sheetFormatPr defaultRowHeight="15" x14ac:dyDescent="0.25"/>
  <cols>
    <col min="1" max="1" width="63.85546875" customWidth="1"/>
    <col min="2" max="2" width="118.28515625" customWidth="1"/>
  </cols>
  <sheetData>
    <row r="1" spans="1:2" x14ac:dyDescent="0.25">
      <c r="A1" s="7" t="s">
        <v>250</v>
      </c>
      <c r="B1" s="18"/>
    </row>
    <row r="2" spans="1:2" s="18" customFormat="1" x14ac:dyDescent="0.25">
      <c r="A2" s="11" t="s">
        <v>251</v>
      </c>
      <c r="B2" s="46" t="s">
        <v>252</v>
      </c>
    </row>
    <row r="3" spans="1:2" s="18" customFormat="1" x14ac:dyDescent="0.25">
      <c r="A3" s="11"/>
      <c r="B3" s="11"/>
    </row>
    <row r="4" spans="1:2" s="18" customFormat="1" x14ac:dyDescent="0.25">
      <c r="A4" s="11" t="s">
        <v>253</v>
      </c>
      <c r="B4" s="46" t="s">
        <v>254</v>
      </c>
    </row>
    <row r="5" spans="1:2" s="18" customFormat="1" x14ac:dyDescent="0.25">
      <c r="A5" s="11" t="s">
        <v>255</v>
      </c>
      <c r="B5" s="11" t="s">
        <v>256</v>
      </c>
    </row>
    <row r="6" spans="1:2" s="18" customFormat="1" x14ac:dyDescent="0.25">
      <c r="A6" s="11" t="s">
        <v>257</v>
      </c>
      <c r="B6" s="11" t="s">
        <v>258</v>
      </c>
    </row>
    <row r="7" spans="1:2" s="18" customFormat="1" x14ac:dyDescent="0.25">
      <c r="A7" s="7" t="s">
        <v>29</v>
      </c>
    </row>
    <row r="8" spans="1:2" s="18" customFormat="1" x14ac:dyDescent="0.25">
      <c r="A8" s="11" t="s">
        <v>259</v>
      </c>
    </row>
    <row r="9" spans="1:2" s="18" customFormat="1" x14ac:dyDescent="0.25">
      <c r="A9" s="11" t="s">
        <v>260</v>
      </c>
    </row>
    <row r="10" spans="1:2" s="18" customFormat="1" x14ac:dyDescent="0.25">
      <c r="A10" s="11" t="s">
        <v>257</v>
      </c>
    </row>
    <row r="11" spans="1:2" s="18" customFormat="1" x14ac:dyDescent="0.25">
      <c r="A11" s="7" t="s">
        <v>29</v>
      </c>
    </row>
    <row r="12" spans="1:2" s="18" customFormat="1" x14ac:dyDescent="0.25">
      <c r="A12" s="11" t="s">
        <v>261</v>
      </c>
    </row>
    <row r="13" spans="1:2" s="18" customFormat="1" x14ac:dyDescent="0.25">
      <c r="A13" s="11" t="s">
        <v>262</v>
      </c>
    </row>
    <row r="14" spans="1:2" s="18" customFormat="1" x14ac:dyDescent="0.25">
      <c r="A14" s="11" t="s">
        <v>257</v>
      </c>
    </row>
    <row r="15" spans="1:2" s="18" customFormat="1" x14ac:dyDescent="0.25">
      <c r="A15" s="7" t="s">
        <v>29</v>
      </c>
    </row>
    <row r="16" spans="1:2" x14ac:dyDescent="0.25">
      <c r="A16" s="11" t="s">
        <v>263</v>
      </c>
      <c r="B16" s="46" t="s">
        <v>264</v>
      </c>
    </row>
    <row r="17" spans="1:2" x14ac:dyDescent="0.25">
      <c r="A17" s="11" t="s">
        <v>265</v>
      </c>
      <c r="B17" s="18"/>
    </row>
    <row r="18" spans="1:2" x14ac:dyDescent="0.25">
      <c r="A18" s="11" t="s">
        <v>266</v>
      </c>
      <c r="B18" s="18"/>
    </row>
    <row r="19" spans="1:2" x14ac:dyDescent="0.25">
      <c r="A19" s="11" t="s">
        <v>267</v>
      </c>
      <c r="B19" s="18"/>
    </row>
    <row r="20" spans="1:2" s="18" customFormat="1" x14ac:dyDescent="0.25">
      <c r="A20" s="11" t="s">
        <v>268</v>
      </c>
    </row>
    <row r="21" spans="1:2" x14ac:dyDescent="0.25">
      <c r="A21" s="7" t="s">
        <v>29</v>
      </c>
      <c r="B21" s="18"/>
    </row>
    <row r="22" spans="1:2" s="18" customFormat="1" x14ac:dyDescent="0.25">
      <c r="A22" s="11" t="s">
        <v>269</v>
      </c>
      <c r="B22" s="46" t="s">
        <v>270</v>
      </c>
    </row>
    <row r="23" spans="1:2" x14ac:dyDescent="0.25">
      <c r="A23" s="11" t="s">
        <v>271</v>
      </c>
      <c r="B23" s="18"/>
    </row>
    <row r="24" spans="1:2" x14ac:dyDescent="0.25">
      <c r="A24" s="11" t="s">
        <v>272</v>
      </c>
      <c r="B24" s="18"/>
    </row>
    <row r="25" spans="1:2" x14ac:dyDescent="0.25">
      <c r="A25" s="11" t="s">
        <v>273</v>
      </c>
      <c r="B25" s="18"/>
    </row>
    <row r="26" spans="1:2" s="18" customFormat="1" x14ac:dyDescent="0.25">
      <c r="A26" s="11" t="s">
        <v>274</v>
      </c>
    </row>
    <row r="27" spans="1:2" x14ac:dyDescent="0.25">
      <c r="A27" s="7" t="s">
        <v>29</v>
      </c>
      <c r="B27" s="18"/>
    </row>
    <row r="28" spans="1:2" x14ac:dyDescent="0.25">
      <c r="A28" s="11" t="s">
        <v>275</v>
      </c>
      <c r="B28" s="46" t="s">
        <v>276</v>
      </c>
    </row>
    <row r="29" spans="1:2" x14ac:dyDescent="0.25">
      <c r="A29" s="11" t="s">
        <v>277</v>
      </c>
      <c r="B29" s="18"/>
    </row>
    <row r="30" spans="1:2" s="18" customFormat="1" x14ac:dyDescent="0.25">
      <c r="A30" s="11" t="s">
        <v>278</v>
      </c>
    </row>
    <row r="31" spans="1:2" x14ac:dyDescent="0.25">
      <c r="A31" s="11" t="s">
        <v>279</v>
      </c>
      <c r="B31" s="18"/>
    </row>
    <row r="32" spans="1:2" s="18" customFormat="1" x14ac:dyDescent="0.25">
      <c r="A32" s="56" t="s">
        <v>280</v>
      </c>
    </row>
    <row r="33" spans="1:2" x14ac:dyDescent="0.25">
      <c r="A33" s="11" t="s">
        <v>281</v>
      </c>
      <c r="B33" s="18"/>
    </row>
    <row r="34" spans="1:2" x14ac:dyDescent="0.25">
      <c r="A34" s="11" t="s">
        <v>282</v>
      </c>
      <c r="B34" s="18"/>
    </row>
    <row r="35" spans="1:2" x14ac:dyDescent="0.25">
      <c r="A35" s="7" t="s">
        <v>29</v>
      </c>
      <c r="B35" s="18"/>
    </row>
    <row r="36" spans="1:2" s="18" customFormat="1" x14ac:dyDescent="0.25">
      <c r="A36" s="11" t="s">
        <v>283</v>
      </c>
      <c r="B36" s="46" t="s">
        <v>284</v>
      </c>
    </row>
    <row r="37" spans="1:2" x14ac:dyDescent="0.25">
      <c r="A37" s="11" t="s">
        <v>29</v>
      </c>
      <c r="B37" s="18"/>
    </row>
    <row r="38" spans="1:2" x14ac:dyDescent="0.25">
      <c r="A38" s="11" t="s">
        <v>285</v>
      </c>
      <c r="B38" s="46" t="s">
        <v>286</v>
      </c>
    </row>
    <row r="39" spans="1:2" x14ac:dyDescent="0.25">
      <c r="A39" s="11" t="s">
        <v>287</v>
      </c>
      <c r="B39" s="18"/>
    </row>
    <row r="40" spans="1:2" x14ac:dyDescent="0.25">
      <c r="A40" s="11"/>
      <c r="B40" s="18"/>
    </row>
    <row r="41" spans="1:2" x14ac:dyDescent="0.25">
      <c r="A41" s="11" t="s">
        <v>288</v>
      </c>
      <c r="B41" s="46" t="s">
        <v>289</v>
      </c>
    </row>
    <row r="42" spans="1:2" s="18" customFormat="1" x14ac:dyDescent="0.25">
      <c r="A42" s="11" t="s">
        <v>290</v>
      </c>
    </row>
    <row r="43" spans="1:2" x14ac:dyDescent="0.25">
      <c r="A43" s="11" t="s">
        <v>29</v>
      </c>
      <c r="B43" s="18"/>
    </row>
    <row r="44" spans="1:2" x14ac:dyDescent="0.25">
      <c r="A44" s="11" t="s">
        <v>291</v>
      </c>
      <c r="B44" s="46" t="s">
        <v>292</v>
      </c>
    </row>
    <row r="45" spans="1:2" x14ac:dyDescent="0.25">
      <c r="A45" s="11" t="s">
        <v>293</v>
      </c>
      <c r="B45" s="18"/>
    </row>
    <row r="46" spans="1:2" s="18" customFormat="1" x14ac:dyDescent="0.25">
      <c r="A46" s="11" t="s">
        <v>294</v>
      </c>
    </row>
    <row r="47" spans="1:2" x14ac:dyDescent="0.25">
      <c r="A47" s="27" t="s">
        <v>295</v>
      </c>
      <c r="B47" s="18"/>
    </row>
    <row r="48" spans="1:2" x14ac:dyDescent="0.25">
      <c r="A48" s="7" t="s">
        <v>29</v>
      </c>
      <c r="B48" s="18"/>
    </row>
    <row r="49" spans="1:2" x14ac:dyDescent="0.25">
      <c r="A49" s="11" t="s">
        <v>296</v>
      </c>
      <c r="B49" s="18"/>
    </row>
    <row r="50" spans="1:2" x14ac:dyDescent="0.25">
      <c r="A50" s="11" t="s">
        <v>297</v>
      </c>
      <c r="B50" s="18"/>
    </row>
    <row r="51" spans="1:2" x14ac:dyDescent="0.25">
      <c r="A51" s="11" t="s">
        <v>298</v>
      </c>
      <c r="B51" s="18"/>
    </row>
    <row r="52" spans="1:2" x14ac:dyDescent="0.25">
      <c r="A52" s="11" t="s">
        <v>299</v>
      </c>
      <c r="B52" s="18"/>
    </row>
    <row r="53" spans="1:2" x14ac:dyDescent="0.25">
      <c r="A53" s="11" t="s">
        <v>300</v>
      </c>
      <c r="B53" s="18"/>
    </row>
    <row r="54" spans="1:2" x14ac:dyDescent="0.25">
      <c r="A54" s="11" t="s">
        <v>301</v>
      </c>
      <c r="B54" s="18"/>
    </row>
    <row r="55" spans="1:2" x14ac:dyDescent="0.25">
      <c r="A55" s="11" t="s">
        <v>302</v>
      </c>
      <c r="B55" s="18"/>
    </row>
    <row r="56" spans="1:2" x14ac:dyDescent="0.25">
      <c r="A56" s="11" t="s">
        <v>303</v>
      </c>
      <c r="B56" s="18"/>
    </row>
    <row r="57" spans="1:2" x14ac:dyDescent="0.25">
      <c r="A57" s="11" t="s">
        <v>304</v>
      </c>
      <c r="B57" s="18"/>
    </row>
    <row r="58" spans="1:2" x14ac:dyDescent="0.25">
      <c r="A58" s="11" t="s">
        <v>305</v>
      </c>
      <c r="B58" s="18"/>
    </row>
    <row r="59" spans="1:2" x14ac:dyDescent="0.25">
      <c r="A59" s="11" t="s">
        <v>306</v>
      </c>
      <c r="B59" s="18"/>
    </row>
    <row r="60" spans="1:2" x14ac:dyDescent="0.25">
      <c r="A60" s="11" t="s">
        <v>307</v>
      </c>
      <c r="B60" s="18"/>
    </row>
    <row r="61" spans="1:2" x14ac:dyDescent="0.25">
      <c r="A61" s="11" t="s">
        <v>308</v>
      </c>
      <c r="B61" s="18"/>
    </row>
    <row r="62" spans="1:2" x14ac:dyDescent="0.25">
      <c r="A62" s="11" t="s">
        <v>309</v>
      </c>
      <c r="B62" s="18"/>
    </row>
    <row r="63" spans="1:2" x14ac:dyDescent="0.25">
      <c r="A63" s="11" t="s">
        <v>310</v>
      </c>
      <c r="B63" s="18"/>
    </row>
    <row r="64" spans="1:2" x14ac:dyDescent="0.25">
      <c r="A64" s="11" t="s">
        <v>311</v>
      </c>
      <c r="B64" s="18"/>
    </row>
    <row r="65" spans="1:2" x14ac:dyDescent="0.25">
      <c r="A65" s="11" t="s">
        <v>312</v>
      </c>
      <c r="B65" s="18"/>
    </row>
    <row r="66" spans="1:2" x14ac:dyDescent="0.25">
      <c r="A66" s="11" t="s">
        <v>313</v>
      </c>
      <c r="B66" s="18"/>
    </row>
    <row r="67" spans="1:2" x14ac:dyDescent="0.25">
      <c r="A67" s="11" t="s">
        <v>314</v>
      </c>
      <c r="B67" s="18"/>
    </row>
    <row r="68" spans="1:2" x14ac:dyDescent="0.25">
      <c r="A68" s="11" t="s">
        <v>315</v>
      </c>
      <c r="B68" s="25" t="s">
        <v>316</v>
      </c>
    </row>
    <row r="69" spans="1:2" x14ac:dyDescent="0.25">
      <c r="A69" s="11" t="s">
        <v>317</v>
      </c>
      <c r="B69" s="25" t="s">
        <v>318</v>
      </c>
    </row>
    <row r="70" spans="1:2" x14ac:dyDescent="0.25">
      <c r="A70" s="13" t="s">
        <v>319</v>
      </c>
      <c r="B70" s="18"/>
    </row>
    <row r="71" spans="1:2" x14ac:dyDescent="0.25">
      <c r="A71" s="13" t="s">
        <v>320</v>
      </c>
      <c r="B71" s="18"/>
    </row>
    <row r="72" spans="1:2" x14ac:dyDescent="0.25">
      <c r="A72" s="13"/>
      <c r="B72" s="18"/>
    </row>
  </sheetData>
  <sheetProtection algorithmName="SHA-512" hashValue="e4kEnNTrLaK29EInpo0WpJWcaxP2PiW8WOt3XmGozdmBKoNs5ZzuiC9aCt0cp45grM18LeYoXvDUWD6lu+HqaQ==" saltValue="EUpnYAJWWczYXUOY9i3sAA==" spinCount="100000" sheet="1" objects="1" scenarios="1"/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F7496-3C4C-43B4-A75F-A4773F200B90}">
  <dimension ref="A1:B42"/>
  <sheetViews>
    <sheetView topLeftCell="A10" workbookViewId="0">
      <selection activeCell="A43" sqref="A43"/>
    </sheetView>
  </sheetViews>
  <sheetFormatPr defaultRowHeight="15" x14ac:dyDescent="0.25"/>
  <cols>
    <col min="1" max="1" width="50.85546875" customWidth="1"/>
    <col min="2" max="2" width="100.85546875" customWidth="1"/>
  </cols>
  <sheetData>
    <row r="1" spans="1:2" x14ac:dyDescent="0.25">
      <c r="A1" s="7" t="s">
        <v>321</v>
      </c>
      <c r="B1" s="18" t="s">
        <v>322</v>
      </c>
    </row>
    <row r="3" spans="1:2" x14ac:dyDescent="0.25">
      <c r="A3" s="18" t="s">
        <v>323</v>
      </c>
      <c r="B3" s="18"/>
    </row>
    <row r="4" spans="1:2" x14ac:dyDescent="0.25">
      <c r="A4" s="18" t="s">
        <v>324</v>
      </c>
      <c r="B4" s="18"/>
    </row>
    <row r="5" spans="1:2" x14ac:dyDescent="0.25">
      <c r="A5" s="18" t="s">
        <v>325</v>
      </c>
      <c r="B5" s="18"/>
    </row>
    <row r="6" spans="1:2" x14ac:dyDescent="0.25">
      <c r="A6" s="18" t="s">
        <v>326</v>
      </c>
      <c r="B6" s="18"/>
    </row>
    <row r="7" spans="1:2" x14ac:dyDescent="0.25">
      <c r="A7" s="18" t="s">
        <v>327</v>
      </c>
      <c r="B7" s="18"/>
    </row>
    <row r="8" spans="1:2" s="18" customFormat="1" x14ac:dyDescent="0.25">
      <c r="A8" s="18" t="s">
        <v>314</v>
      </c>
    </row>
    <row r="9" spans="1:2" s="18" customFormat="1" x14ac:dyDescent="0.25">
      <c r="A9" s="18" t="s">
        <v>328</v>
      </c>
    </row>
    <row r="10" spans="1:2" x14ac:dyDescent="0.25">
      <c r="A10" s="18" t="s">
        <v>329</v>
      </c>
      <c r="B10" s="18"/>
    </row>
    <row r="11" spans="1:2" s="18" customFormat="1" x14ac:dyDescent="0.25">
      <c r="A11" s="18" t="s">
        <v>330</v>
      </c>
    </row>
    <row r="12" spans="1:2" s="18" customFormat="1" x14ac:dyDescent="0.25"/>
    <row r="13" spans="1:2" x14ac:dyDescent="0.25">
      <c r="A13" s="7" t="s">
        <v>331</v>
      </c>
      <c r="B13" s="18"/>
    </row>
    <row r="14" spans="1:2" x14ac:dyDescent="0.25">
      <c r="A14" s="18" t="s">
        <v>332</v>
      </c>
      <c r="B14" s="18"/>
    </row>
    <row r="15" spans="1:2" x14ac:dyDescent="0.25">
      <c r="A15" s="18" t="s">
        <v>333</v>
      </c>
      <c r="B15" s="18"/>
    </row>
    <row r="16" spans="1:2" x14ac:dyDescent="0.25">
      <c r="A16" s="18" t="s">
        <v>325</v>
      </c>
      <c r="B16" s="18"/>
    </row>
    <row r="17" spans="1:2" x14ac:dyDescent="0.25">
      <c r="A17" s="18" t="s">
        <v>326</v>
      </c>
      <c r="B17" s="18"/>
    </row>
    <row r="18" spans="1:2" x14ac:dyDescent="0.25">
      <c r="A18" s="18" t="s">
        <v>327</v>
      </c>
      <c r="B18" s="18"/>
    </row>
    <row r="19" spans="1:2" x14ac:dyDescent="0.25">
      <c r="A19" s="18" t="s">
        <v>334</v>
      </c>
      <c r="B19" s="18"/>
    </row>
    <row r="20" spans="1:2" s="18" customFormat="1" x14ac:dyDescent="0.25">
      <c r="A20" s="18" t="s">
        <v>328</v>
      </c>
    </row>
    <row r="21" spans="1:2" x14ac:dyDescent="0.25">
      <c r="A21" s="18" t="s">
        <v>335</v>
      </c>
      <c r="B21" s="18"/>
    </row>
    <row r="22" spans="1:2" x14ac:dyDescent="0.25">
      <c r="A22" s="18" t="s">
        <v>336</v>
      </c>
      <c r="B22" s="18"/>
    </row>
    <row r="23" spans="1:2" x14ac:dyDescent="0.25">
      <c r="A23" s="18" t="s">
        <v>337</v>
      </c>
      <c r="B23" s="18"/>
    </row>
    <row r="24" spans="1:2" x14ac:dyDescent="0.25">
      <c r="A24" s="18" t="s">
        <v>338</v>
      </c>
      <c r="B24" s="18"/>
    </row>
    <row r="25" spans="1:2" x14ac:dyDescent="0.25">
      <c r="A25" s="18" t="s">
        <v>314</v>
      </c>
      <c r="B25" s="18"/>
    </row>
    <row r="26" spans="1:2" s="18" customFormat="1" x14ac:dyDescent="0.25">
      <c r="A26" s="44" t="s">
        <v>339</v>
      </c>
      <c r="B26" s="25" t="s">
        <v>340</v>
      </c>
    </row>
    <row r="27" spans="1:2" s="18" customFormat="1" x14ac:dyDescent="0.25">
      <c r="A27" s="34" t="s">
        <v>330</v>
      </c>
      <c r="B27" s="25"/>
    </row>
    <row r="28" spans="1:2" s="18" customFormat="1" x14ac:dyDescent="0.25"/>
    <row r="29" spans="1:2" x14ac:dyDescent="0.25">
      <c r="A29" s="18" t="s">
        <v>341</v>
      </c>
      <c r="B29" s="18"/>
    </row>
    <row r="30" spans="1:2" x14ac:dyDescent="0.25">
      <c r="A30" s="18" t="s">
        <v>333</v>
      </c>
      <c r="B30" s="18"/>
    </row>
    <row r="31" spans="1:2" x14ac:dyDescent="0.25">
      <c r="A31" s="18" t="s">
        <v>325</v>
      </c>
      <c r="B31" s="18"/>
    </row>
    <row r="32" spans="1:2" x14ac:dyDescent="0.25">
      <c r="A32" s="18" t="s">
        <v>326</v>
      </c>
      <c r="B32" s="18"/>
    </row>
    <row r="33" spans="1:2" x14ac:dyDescent="0.25">
      <c r="A33" s="18" t="s">
        <v>327</v>
      </c>
      <c r="B33" s="18"/>
    </row>
    <row r="34" spans="1:2" x14ac:dyDescent="0.25">
      <c r="A34" s="18" t="s">
        <v>334</v>
      </c>
      <c r="B34" s="18"/>
    </row>
    <row r="35" spans="1:2" s="18" customFormat="1" x14ac:dyDescent="0.25">
      <c r="A35" s="18" t="s">
        <v>328</v>
      </c>
    </row>
    <row r="36" spans="1:2" x14ac:dyDescent="0.25">
      <c r="A36" s="18" t="s">
        <v>335</v>
      </c>
      <c r="B36" s="18"/>
    </row>
    <row r="37" spans="1:2" x14ac:dyDescent="0.25">
      <c r="A37" s="18" t="s">
        <v>336</v>
      </c>
      <c r="B37" s="18"/>
    </row>
    <row r="38" spans="1:2" x14ac:dyDescent="0.25">
      <c r="A38" s="18" t="s">
        <v>337</v>
      </c>
      <c r="B38" s="18"/>
    </row>
    <row r="39" spans="1:2" x14ac:dyDescent="0.25">
      <c r="A39" s="18" t="s">
        <v>338</v>
      </c>
      <c r="B39" s="18"/>
    </row>
    <row r="40" spans="1:2" x14ac:dyDescent="0.25">
      <c r="A40" s="18" t="s">
        <v>314</v>
      </c>
      <c r="B40" s="18"/>
    </row>
    <row r="41" spans="1:2" x14ac:dyDescent="0.25">
      <c r="A41" s="44" t="s">
        <v>339</v>
      </c>
      <c r="B41" s="25" t="s">
        <v>342</v>
      </c>
    </row>
    <row r="42" spans="1:2" x14ac:dyDescent="0.25">
      <c r="A42" s="18" t="s">
        <v>330</v>
      </c>
      <c r="B42" s="18"/>
    </row>
  </sheetData>
  <sheetProtection algorithmName="SHA-512" hashValue="3lGfyzcNbA6PLdDcu0SyWc2dww8ckgZiE7jOzfQwzCmJcG5PtEgmJZEDHMGoSwkecPQIUbWG6P1dgFyebE7dSA==" saltValue="+m6LBRp2b0U9OpisM59TBQ==" spinCount="100000" sheet="1" objects="1" scenarios="1"/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5B312-A754-420E-8AAD-E48A1B53AB9C}">
  <dimension ref="A1:L82"/>
  <sheetViews>
    <sheetView topLeftCell="A49" workbookViewId="0">
      <selection activeCell="A2" sqref="A2"/>
    </sheetView>
  </sheetViews>
  <sheetFormatPr defaultRowHeight="15" x14ac:dyDescent="0.25"/>
  <cols>
    <col min="1" max="1" width="135" customWidth="1"/>
    <col min="2" max="2" width="121.28515625" customWidth="1"/>
  </cols>
  <sheetData>
    <row r="1" spans="1:12" x14ac:dyDescent="0.25">
      <c r="A1" s="6" t="s">
        <v>343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</row>
    <row r="2" spans="1:12" x14ac:dyDescent="0.25">
      <c r="A2" s="5" t="s">
        <v>344</v>
      </c>
      <c r="B2" s="5" t="s">
        <v>345</v>
      </c>
      <c r="C2" s="5"/>
      <c r="D2" s="5"/>
      <c r="E2" s="5"/>
      <c r="F2" s="5"/>
      <c r="G2" s="5"/>
      <c r="H2" s="5"/>
      <c r="I2" s="5"/>
      <c r="J2" s="5"/>
      <c r="K2" s="5"/>
      <c r="L2" s="5"/>
    </row>
    <row r="3" spans="1:12" x14ac:dyDescent="0.25">
      <c r="A3" s="5" t="s">
        <v>346</v>
      </c>
      <c r="B3" s="5" t="s">
        <v>347</v>
      </c>
      <c r="C3" s="5"/>
      <c r="D3" s="5"/>
      <c r="E3" s="5"/>
      <c r="F3" s="5"/>
      <c r="G3" s="5"/>
      <c r="H3" s="5"/>
      <c r="I3" s="5"/>
      <c r="J3" s="5"/>
      <c r="K3" s="5"/>
      <c r="L3" s="5"/>
    </row>
    <row r="4" spans="1:12" x14ac:dyDescent="0.25">
      <c r="A4" s="5" t="s">
        <v>348</v>
      </c>
      <c r="B4" s="5"/>
      <c r="C4" s="5"/>
      <c r="D4" s="5"/>
      <c r="E4" s="5"/>
      <c r="F4" s="5"/>
      <c r="G4" s="5"/>
      <c r="H4" s="5"/>
      <c r="I4" s="5"/>
      <c r="J4" s="5"/>
      <c r="K4" s="11"/>
      <c r="L4" s="11"/>
    </row>
    <row r="5" spans="1:12" s="18" customFormat="1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11"/>
      <c r="L5" s="11"/>
    </row>
    <row r="6" spans="1:12" s="18" customFormat="1" x14ac:dyDescent="0.25">
      <c r="A6" s="13" t="s">
        <v>349</v>
      </c>
      <c r="B6" s="5"/>
      <c r="C6" s="5"/>
      <c r="D6" s="5"/>
      <c r="E6" s="5"/>
      <c r="F6" s="5"/>
      <c r="G6" s="5"/>
      <c r="H6" s="5"/>
      <c r="I6" s="5"/>
      <c r="J6" s="5"/>
      <c r="K6" s="11"/>
      <c r="L6" s="11"/>
    </row>
    <row r="7" spans="1:12" s="18" customFormat="1" x14ac:dyDescent="0.25">
      <c r="A7" s="13" t="s">
        <v>350</v>
      </c>
      <c r="B7" s="5"/>
      <c r="C7" s="5"/>
      <c r="D7" s="5"/>
      <c r="E7" s="5"/>
      <c r="F7" s="5"/>
      <c r="G7" s="5"/>
      <c r="H7" s="5"/>
      <c r="I7" s="5"/>
      <c r="J7" s="5"/>
      <c r="K7" s="11"/>
      <c r="L7" s="11"/>
    </row>
    <row r="8" spans="1:12" s="18" customFormat="1" x14ac:dyDescent="0.25">
      <c r="A8" s="13"/>
      <c r="B8" s="5"/>
      <c r="C8" s="5"/>
      <c r="D8" s="5"/>
      <c r="E8" s="5"/>
      <c r="F8" s="5"/>
      <c r="G8" s="5"/>
      <c r="H8" s="5"/>
      <c r="I8" s="5"/>
      <c r="J8" s="5"/>
      <c r="K8" s="11"/>
      <c r="L8" s="11"/>
    </row>
    <row r="9" spans="1:12" s="18" customFormat="1" x14ac:dyDescent="0.25">
      <c r="A9" s="6" t="s">
        <v>351</v>
      </c>
      <c r="B9" s="5" t="s">
        <v>252</v>
      </c>
      <c r="C9" s="5"/>
      <c r="D9" s="5"/>
      <c r="E9" s="5"/>
      <c r="F9" s="5"/>
      <c r="G9" s="5"/>
      <c r="H9" s="5"/>
      <c r="I9" s="5"/>
      <c r="J9" s="5"/>
      <c r="K9" s="11"/>
      <c r="L9" s="11"/>
    </row>
    <row r="10" spans="1:12" s="18" customFormat="1" x14ac:dyDescent="0.25">
      <c r="A10" s="5" t="s">
        <v>352</v>
      </c>
      <c r="B10" s="33" t="s">
        <v>353</v>
      </c>
      <c r="C10" s="5"/>
      <c r="D10" s="5"/>
      <c r="E10" s="5"/>
      <c r="F10" s="5"/>
      <c r="G10" s="5"/>
      <c r="H10" s="5"/>
      <c r="I10" s="5"/>
      <c r="J10" s="5"/>
      <c r="K10" s="11"/>
      <c r="L10" s="11"/>
    </row>
    <row r="11" spans="1:12" x14ac:dyDescent="0.25">
      <c r="A11" s="5" t="s">
        <v>354</v>
      </c>
      <c r="B11" s="33" t="s">
        <v>355</v>
      </c>
      <c r="C11" s="11"/>
      <c r="D11" s="11"/>
      <c r="E11" s="11"/>
      <c r="F11" s="11"/>
      <c r="G11" s="11"/>
      <c r="H11" s="11"/>
      <c r="I11" s="11"/>
      <c r="J11" s="11"/>
      <c r="K11" s="11"/>
      <c r="L11" s="11"/>
    </row>
    <row r="12" spans="1:12" s="18" customFormat="1" x14ac:dyDescent="0.25">
      <c r="A12" s="5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</row>
    <row r="13" spans="1:12" s="18" customFormat="1" x14ac:dyDescent="0.25">
      <c r="A13" s="6" t="s">
        <v>356</v>
      </c>
      <c r="B13" s="11" t="s">
        <v>254</v>
      </c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2" s="18" customFormat="1" x14ac:dyDescent="0.25">
      <c r="A14" s="5" t="s">
        <v>357</v>
      </c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</row>
    <row r="15" spans="1:12" s="18" customFormat="1" x14ac:dyDescent="0.25">
      <c r="A15" s="5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</row>
    <row r="16" spans="1:12" s="18" customFormat="1" x14ac:dyDescent="0.25">
      <c r="A16" s="6" t="s">
        <v>358</v>
      </c>
      <c r="B16" s="11" t="s">
        <v>264</v>
      </c>
      <c r="C16" s="11"/>
      <c r="D16" s="11"/>
      <c r="E16" s="11"/>
      <c r="F16" s="11"/>
      <c r="G16" s="11"/>
      <c r="H16" s="11"/>
      <c r="I16" s="11"/>
      <c r="J16" s="11"/>
      <c r="K16" s="11"/>
      <c r="L16" s="11"/>
    </row>
    <row r="17" spans="1:12" s="18" customFormat="1" x14ac:dyDescent="0.25">
      <c r="A17" s="5" t="s">
        <v>359</v>
      </c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</row>
    <row r="18" spans="1:12" s="18" customFormat="1" x14ac:dyDescent="0.25">
      <c r="A18" s="5" t="s">
        <v>360</v>
      </c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</row>
    <row r="19" spans="1:12" s="18" customFormat="1" x14ac:dyDescent="0.25">
      <c r="A19" s="5" t="s">
        <v>361</v>
      </c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</row>
    <row r="20" spans="1:12" s="18" customFormat="1" x14ac:dyDescent="0.25">
      <c r="A20" s="5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</row>
    <row r="21" spans="1:12" x14ac:dyDescent="0.25">
      <c r="A21" s="6" t="s">
        <v>362</v>
      </c>
      <c r="B21" s="11" t="s">
        <v>270</v>
      </c>
      <c r="C21" s="11"/>
      <c r="D21" s="11"/>
      <c r="E21" s="11"/>
      <c r="F21" s="11"/>
      <c r="G21" s="11"/>
      <c r="H21" s="11"/>
      <c r="I21" s="11"/>
      <c r="J21" s="11"/>
      <c r="K21" s="11"/>
      <c r="L21" s="11"/>
    </row>
    <row r="22" spans="1:12" x14ac:dyDescent="0.25">
      <c r="A22" s="5" t="s">
        <v>363</v>
      </c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</row>
    <row r="23" spans="1:12" x14ac:dyDescent="0.25">
      <c r="A23" s="5" t="s">
        <v>364</v>
      </c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</row>
    <row r="24" spans="1:12" x14ac:dyDescent="0.25">
      <c r="A24" s="5" t="s">
        <v>365</v>
      </c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</row>
    <row r="25" spans="1:12" s="18" customFormat="1" x14ac:dyDescent="0.25">
      <c r="A25" s="5" t="s">
        <v>366</v>
      </c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</row>
    <row r="26" spans="1:12" s="18" customFormat="1" x14ac:dyDescent="0.25">
      <c r="A26" s="5" t="s">
        <v>367</v>
      </c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</row>
    <row r="27" spans="1:12" s="18" customFormat="1" x14ac:dyDescent="0.25">
      <c r="A27" s="5" t="s">
        <v>368</v>
      </c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</row>
    <row r="28" spans="1:12" s="18" customFormat="1" x14ac:dyDescent="0.25">
      <c r="A28" s="5" t="s">
        <v>369</v>
      </c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</row>
    <row r="29" spans="1:12" x14ac:dyDescent="0.25">
      <c r="A29" s="5" t="s">
        <v>370</v>
      </c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</row>
    <row r="30" spans="1:12" x14ac:dyDescent="0.25">
      <c r="A30" s="5" t="s">
        <v>371</v>
      </c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</row>
    <row r="31" spans="1:12" x14ac:dyDescent="0.25">
      <c r="A31" s="5" t="s">
        <v>372</v>
      </c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</row>
    <row r="32" spans="1:12" s="18" customFormat="1" x14ac:dyDescent="0.25">
      <c r="A32" s="5" t="s">
        <v>373</v>
      </c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</row>
    <row r="33" spans="1:12" x14ac:dyDescent="0.25">
      <c r="A33" s="5" t="s">
        <v>374</v>
      </c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</row>
    <row r="34" spans="1:12" x14ac:dyDescent="0.25">
      <c r="A34" s="5" t="s">
        <v>375</v>
      </c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</row>
    <row r="35" spans="1:12" x14ac:dyDescent="0.25">
      <c r="A35" s="5" t="s">
        <v>29</v>
      </c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</row>
    <row r="36" spans="1:12" x14ac:dyDescent="0.25">
      <c r="A36" s="6" t="s">
        <v>376</v>
      </c>
      <c r="B36" s="11" t="s">
        <v>276</v>
      </c>
      <c r="C36" s="11"/>
      <c r="D36" s="11"/>
      <c r="E36" s="11"/>
      <c r="F36" s="11"/>
      <c r="G36" s="11"/>
      <c r="H36" s="11"/>
      <c r="I36" s="11"/>
      <c r="J36" s="11"/>
      <c r="K36" s="11"/>
      <c r="L36" s="11"/>
    </row>
    <row r="37" spans="1:12" x14ac:dyDescent="0.25">
      <c r="A37" s="5" t="s">
        <v>377</v>
      </c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</row>
    <row r="38" spans="1:12" x14ac:dyDescent="0.25">
      <c r="A38" s="13" t="s">
        <v>378</v>
      </c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</row>
    <row r="39" spans="1:12" x14ac:dyDescent="0.25">
      <c r="A39" s="5" t="s">
        <v>379</v>
      </c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</row>
    <row r="40" spans="1:12" x14ac:dyDescent="0.25">
      <c r="A40" s="43" t="s">
        <v>380</v>
      </c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</row>
    <row r="41" spans="1:12" x14ac:dyDescent="0.25">
      <c r="A41" s="5" t="s">
        <v>381</v>
      </c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</row>
    <row r="42" spans="1:12" x14ac:dyDescent="0.25">
      <c r="A42" s="5" t="s">
        <v>382</v>
      </c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</row>
    <row r="43" spans="1:12" x14ac:dyDescent="0.25">
      <c r="A43" s="5" t="s">
        <v>383</v>
      </c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</row>
    <row r="44" spans="1:12" x14ac:dyDescent="0.25">
      <c r="A44" s="13" t="s">
        <v>384</v>
      </c>
      <c r="B44" s="5" t="s">
        <v>385</v>
      </c>
      <c r="C44" s="5"/>
      <c r="D44" s="5"/>
      <c r="E44" s="14"/>
      <c r="F44" s="5"/>
      <c r="G44" s="5"/>
      <c r="H44" s="15" t="str">
        <f>IF(E44="Yes","&lt;=== Enter AS number","")</f>
        <v/>
      </c>
      <c r="I44" s="5"/>
      <c r="J44" s="5"/>
      <c r="K44" s="5"/>
      <c r="L44" s="5"/>
    </row>
    <row r="45" spans="1:12" s="18" customFormat="1" x14ac:dyDescent="0.25">
      <c r="A45" s="5" t="s">
        <v>386</v>
      </c>
      <c r="B45" s="5"/>
      <c r="C45" s="5"/>
      <c r="D45" s="5"/>
      <c r="E45" s="14"/>
      <c r="F45" s="5"/>
      <c r="G45" s="5"/>
      <c r="H45" s="15"/>
      <c r="I45" s="5"/>
      <c r="J45" s="5"/>
      <c r="K45" s="5"/>
      <c r="L45" s="5"/>
    </row>
    <row r="46" spans="1:12" s="18" customFormat="1" x14ac:dyDescent="0.25">
      <c r="A46" s="5" t="s">
        <v>387</v>
      </c>
      <c r="B46" s="5"/>
      <c r="C46" s="5"/>
      <c r="D46" s="5"/>
      <c r="E46" s="14"/>
      <c r="F46" s="5"/>
      <c r="G46" s="5"/>
      <c r="H46" s="15"/>
      <c r="I46" s="5"/>
      <c r="J46" s="5"/>
      <c r="K46" s="5"/>
      <c r="L46" s="5"/>
    </row>
    <row r="47" spans="1:12" s="18" customFormat="1" x14ac:dyDescent="0.25">
      <c r="A47" s="5" t="s">
        <v>29</v>
      </c>
      <c r="B47" s="5"/>
      <c r="C47" s="5"/>
      <c r="D47" s="5"/>
      <c r="E47" s="14"/>
      <c r="F47" s="5"/>
      <c r="G47" s="5"/>
      <c r="H47" s="15"/>
      <c r="I47" s="5"/>
      <c r="J47" s="5"/>
      <c r="K47" s="5"/>
      <c r="L47" s="5"/>
    </row>
    <row r="48" spans="1:12" s="18" customFormat="1" x14ac:dyDescent="0.25">
      <c r="A48" s="5" t="s">
        <v>29</v>
      </c>
      <c r="B48" s="5"/>
      <c r="C48" s="5"/>
      <c r="D48" s="5"/>
      <c r="E48" s="14"/>
      <c r="F48" s="5"/>
      <c r="G48" s="5"/>
      <c r="H48" s="15"/>
      <c r="I48" s="5"/>
      <c r="J48" s="5"/>
      <c r="K48" s="5"/>
      <c r="L48" s="5"/>
    </row>
    <row r="49" spans="1:12" s="18" customFormat="1" x14ac:dyDescent="0.25">
      <c r="A49" s="38" t="s">
        <v>388</v>
      </c>
      <c r="B49" s="7" t="s">
        <v>389</v>
      </c>
      <c r="C49" s="5"/>
      <c r="D49" s="5"/>
      <c r="E49" s="14"/>
      <c r="F49" s="5"/>
      <c r="G49" s="5"/>
      <c r="H49" s="15"/>
      <c r="I49" s="5"/>
      <c r="J49" s="5"/>
      <c r="K49" s="5"/>
      <c r="L49" s="5"/>
    </row>
    <row r="50" spans="1:12" s="18" customFormat="1" x14ac:dyDescent="0.25">
      <c r="A50" s="5" t="s">
        <v>390</v>
      </c>
      <c r="B50" s="5" t="s">
        <v>391</v>
      </c>
      <c r="C50" s="5"/>
      <c r="D50" s="5"/>
      <c r="E50" s="14"/>
      <c r="F50" s="5"/>
      <c r="G50" s="5"/>
      <c r="H50" s="15"/>
      <c r="I50" s="5"/>
      <c r="J50" s="5"/>
      <c r="K50" s="5"/>
      <c r="L50" s="5"/>
    </row>
    <row r="51" spans="1:12" s="18" customFormat="1" x14ac:dyDescent="0.25">
      <c r="A51" s="5" t="s">
        <v>392</v>
      </c>
      <c r="B51" s="5" t="s">
        <v>393</v>
      </c>
      <c r="C51" s="5"/>
      <c r="D51" s="5"/>
      <c r="E51" s="14"/>
      <c r="F51" s="5"/>
      <c r="G51" s="5"/>
      <c r="H51" s="15"/>
      <c r="I51" s="5"/>
      <c r="J51" s="5"/>
      <c r="K51" s="5"/>
      <c r="L51" s="5"/>
    </row>
    <row r="52" spans="1:12" s="18" customFormat="1" x14ac:dyDescent="0.25">
      <c r="A52" s="5" t="s">
        <v>394</v>
      </c>
      <c r="B52" s="5" t="s">
        <v>395</v>
      </c>
      <c r="C52" s="5"/>
      <c r="D52" s="5"/>
      <c r="E52" s="14"/>
      <c r="F52" s="5"/>
      <c r="G52" s="5"/>
      <c r="H52" s="15"/>
      <c r="I52" s="5"/>
      <c r="J52" s="5"/>
      <c r="K52" s="5"/>
      <c r="L52" s="5"/>
    </row>
    <row r="53" spans="1:12" s="18" customFormat="1" x14ac:dyDescent="0.25">
      <c r="A53" s="5" t="s">
        <v>396</v>
      </c>
      <c r="B53" s="5" t="s">
        <v>397</v>
      </c>
      <c r="C53" s="5"/>
      <c r="D53" s="5"/>
      <c r="E53" s="14"/>
      <c r="F53" s="5"/>
      <c r="G53" s="5"/>
      <c r="H53" s="15"/>
      <c r="I53" s="5"/>
      <c r="J53" s="5"/>
      <c r="K53" s="5"/>
      <c r="L53" s="5"/>
    </row>
    <row r="54" spans="1:12" s="18" customFormat="1" x14ac:dyDescent="0.25">
      <c r="A54" s="5"/>
      <c r="B54" s="5"/>
      <c r="C54" s="5"/>
      <c r="D54" s="5"/>
      <c r="E54" s="14"/>
      <c r="F54" s="5"/>
      <c r="G54" s="5"/>
      <c r="H54" s="15"/>
      <c r="I54" s="5"/>
      <c r="J54" s="5"/>
      <c r="K54" s="5"/>
      <c r="L54" s="5"/>
    </row>
    <row r="55" spans="1:12" s="18" customFormat="1" x14ac:dyDescent="0.25">
      <c r="A55" s="5"/>
      <c r="B55" s="5"/>
      <c r="C55" s="5"/>
      <c r="D55" s="5"/>
      <c r="E55" s="14"/>
      <c r="F55" s="5"/>
      <c r="G55" s="5"/>
      <c r="H55" s="15"/>
      <c r="I55" s="5"/>
      <c r="J55" s="5"/>
      <c r="K55" s="5"/>
      <c r="L55" s="5"/>
    </row>
    <row r="56" spans="1:12" s="18" customFormat="1" x14ac:dyDescent="0.25">
      <c r="A56" s="5" t="s">
        <v>398</v>
      </c>
      <c r="B56" s="5" t="s">
        <v>391</v>
      </c>
      <c r="C56" s="5"/>
      <c r="D56" s="5"/>
      <c r="E56" s="14"/>
      <c r="F56" s="5"/>
      <c r="G56" s="5"/>
      <c r="H56" s="15"/>
      <c r="I56" s="5"/>
      <c r="J56" s="5"/>
      <c r="K56" s="5"/>
      <c r="L56" s="5"/>
    </row>
    <row r="57" spans="1:12" s="18" customFormat="1" x14ac:dyDescent="0.25">
      <c r="A57" s="5" t="s">
        <v>399</v>
      </c>
      <c r="B57" s="5" t="s">
        <v>393</v>
      </c>
      <c r="C57" s="5"/>
      <c r="D57" s="5"/>
      <c r="E57" s="14"/>
      <c r="F57" s="5"/>
      <c r="G57" s="5"/>
      <c r="H57" s="15"/>
      <c r="I57" s="5"/>
      <c r="J57" s="5"/>
      <c r="K57" s="5"/>
      <c r="L57" s="5"/>
    </row>
    <row r="58" spans="1:12" s="18" customFormat="1" x14ac:dyDescent="0.25">
      <c r="A58" s="5" t="s">
        <v>400</v>
      </c>
      <c r="B58" s="5" t="s">
        <v>401</v>
      </c>
      <c r="C58" s="5"/>
      <c r="D58" s="5"/>
      <c r="E58" s="14"/>
      <c r="F58" s="5"/>
      <c r="G58" s="5"/>
      <c r="H58" s="15"/>
      <c r="I58" s="5"/>
      <c r="J58" s="5"/>
      <c r="K58" s="5"/>
      <c r="L58" s="5"/>
    </row>
    <row r="59" spans="1:12" s="18" customFormat="1" x14ac:dyDescent="0.25">
      <c r="A59" s="5" t="s">
        <v>402</v>
      </c>
      <c r="B59" s="5" t="s">
        <v>397</v>
      </c>
      <c r="C59" s="5"/>
      <c r="D59" s="5"/>
      <c r="E59" s="14"/>
      <c r="F59" s="5"/>
      <c r="G59" s="5"/>
      <c r="H59" s="15"/>
      <c r="I59" s="5"/>
      <c r="J59" s="5"/>
      <c r="K59" s="5"/>
      <c r="L59" s="5"/>
    </row>
    <row r="60" spans="1:12" s="18" customFormat="1" x14ac:dyDescent="0.25">
      <c r="A60" s="5"/>
      <c r="B60" s="5"/>
      <c r="C60" s="5"/>
      <c r="D60" s="5"/>
      <c r="E60" s="14"/>
      <c r="F60" s="5"/>
      <c r="G60" s="5"/>
      <c r="H60" s="15"/>
      <c r="I60" s="5"/>
      <c r="J60" s="5"/>
      <c r="K60" s="5"/>
      <c r="L60" s="5"/>
    </row>
    <row r="61" spans="1:12" s="18" customFormat="1" x14ac:dyDescent="0.25">
      <c r="A61" s="5"/>
      <c r="C61" s="5"/>
      <c r="D61" s="5"/>
      <c r="E61" s="14"/>
      <c r="F61" s="5"/>
      <c r="G61" s="5"/>
      <c r="H61" s="15"/>
      <c r="I61" s="5"/>
      <c r="J61" s="5"/>
      <c r="K61" s="5"/>
      <c r="L61" s="5"/>
    </row>
    <row r="62" spans="1:12" s="18" customFormat="1" x14ac:dyDescent="0.25">
      <c r="A62" s="38" t="s">
        <v>403</v>
      </c>
      <c r="B62" s="7" t="s">
        <v>404</v>
      </c>
      <c r="C62" s="5"/>
      <c r="D62" s="5"/>
      <c r="E62" s="14"/>
      <c r="F62" s="5"/>
      <c r="G62" s="5"/>
      <c r="H62" s="15"/>
      <c r="I62" s="5"/>
      <c r="J62" s="5"/>
      <c r="K62" s="5"/>
      <c r="L62" s="5"/>
    </row>
    <row r="63" spans="1:12" x14ac:dyDescent="0.25">
      <c r="A63" s="39" t="s">
        <v>405</v>
      </c>
      <c r="B63" s="39" t="s">
        <v>406</v>
      </c>
      <c r="C63" s="5"/>
      <c r="D63" s="5"/>
      <c r="E63" s="5"/>
      <c r="F63" s="5"/>
      <c r="G63" s="5"/>
      <c r="H63" s="5"/>
      <c r="I63" s="5"/>
      <c r="J63" s="15"/>
      <c r="K63" s="5"/>
      <c r="L63" s="5"/>
    </row>
    <row r="64" spans="1:12" x14ac:dyDescent="0.25">
      <c r="A64" s="39" t="s">
        <v>407</v>
      </c>
      <c r="B64" s="39" t="s">
        <v>408</v>
      </c>
      <c r="C64" s="18"/>
      <c r="D64" s="18"/>
      <c r="E64" s="18"/>
      <c r="F64" s="18"/>
      <c r="G64" s="18"/>
      <c r="H64" s="18"/>
      <c r="I64" s="18"/>
      <c r="J64" s="18"/>
      <c r="K64" s="18"/>
      <c r="L64" s="18"/>
    </row>
    <row r="65" spans="1:2" x14ac:dyDescent="0.25">
      <c r="A65" s="39" t="s">
        <v>394</v>
      </c>
      <c r="B65" s="39" t="s">
        <v>409</v>
      </c>
    </row>
    <row r="66" spans="1:2" x14ac:dyDescent="0.25">
      <c r="A66" s="39" t="s">
        <v>410</v>
      </c>
      <c r="B66" s="39" t="s">
        <v>411</v>
      </c>
    </row>
    <row r="67" spans="1:2" x14ac:dyDescent="0.25">
      <c r="A67" s="40"/>
      <c r="B67" s="41"/>
    </row>
    <row r="68" spans="1:2" x14ac:dyDescent="0.25">
      <c r="A68" s="39" t="s">
        <v>412</v>
      </c>
      <c r="B68" s="39" t="s">
        <v>406</v>
      </c>
    </row>
    <row r="69" spans="1:2" x14ac:dyDescent="0.25">
      <c r="A69" s="39" t="s">
        <v>413</v>
      </c>
      <c r="B69" s="39" t="s">
        <v>408</v>
      </c>
    </row>
    <row r="70" spans="1:2" x14ac:dyDescent="0.25">
      <c r="A70" s="39" t="s">
        <v>400</v>
      </c>
      <c r="B70" s="39" t="s">
        <v>409</v>
      </c>
    </row>
    <row r="71" spans="1:2" x14ac:dyDescent="0.25">
      <c r="A71" s="39" t="s">
        <v>414</v>
      </c>
      <c r="B71" s="39" t="s">
        <v>411</v>
      </c>
    </row>
    <row r="73" spans="1:2" x14ac:dyDescent="0.25">
      <c r="A73" s="38" t="s">
        <v>415</v>
      </c>
      <c r="B73" s="42" t="s">
        <v>416</v>
      </c>
    </row>
    <row r="74" spans="1:2" x14ac:dyDescent="0.25">
      <c r="A74" s="39" t="s">
        <v>407</v>
      </c>
      <c r="B74" s="39" t="s">
        <v>408</v>
      </c>
    </row>
    <row r="75" spans="1:2" x14ac:dyDescent="0.25">
      <c r="A75" s="39" t="s">
        <v>405</v>
      </c>
      <c r="B75" s="39" t="s">
        <v>406</v>
      </c>
    </row>
    <row r="76" spans="1:2" x14ac:dyDescent="0.25">
      <c r="A76" s="39" t="s">
        <v>394</v>
      </c>
      <c r="B76" s="39" t="s">
        <v>409</v>
      </c>
    </row>
    <row r="77" spans="1:2" x14ac:dyDescent="0.25">
      <c r="A77" s="39" t="s">
        <v>417</v>
      </c>
      <c r="B77" s="39" t="s">
        <v>418</v>
      </c>
    </row>
    <row r="78" spans="1:2" x14ac:dyDescent="0.25">
      <c r="A78" s="40"/>
      <c r="B78" s="41"/>
    </row>
    <row r="79" spans="1:2" x14ac:dyDescent="0.25">
      <c r="A79" s="39" t="s">
        <v>413</v>
      </c>
      <c r="B79" s="39" t="s">
        <v>408</v>
      </c>
    </row>
    <row r="80" spans="1:2" x14ac:dyDescent="0.25">
      <c r="A80" s="39" t="s">
        <v>412</v>
      </c>
      <c r="B80" s="39" t="s">
        <v>406</v>
      </c>
    </row>
    <row r="81" spans="1:2" x14ac:dyDescent="0.25">
      <c r="A81" s="39" t="s">
        <v>400</v>
      </c>
      <c r="B81" s="39" t="s">
        <v>409</v>
      </c>
    </row>
    <row r="82" spans="1:2" x14ac:dyDescent="0.25">
      <c r="A82" s="39" t="s">
        <v>419</v>
      </c>
      <c r="B82" s="39" t="s">
        <v>418</v>
      </c>
    </row>
  </sheetData>
  <sheetProtection algorithmName="SHA-512" hashValue="1GHcnkyYjt49CyIybWCPeCPMbsBiNLQCWxB860oMUGTK1E4ojwcW29gIVIqzILNXyqmhkfH6JGz9/6906rH7Cg==" saltValue="0HwYpLGxcH1VYVlqAIAbdA==" spinCount="100000" sheet="1" objects="1" scenarios="1"/>
  <conditionalFormatting sqref="H44:H62">
    <cfRule type="expression" dxfId="1" priority="2" stopIfTrue="1">
      <formula>IF(#REF!="Yes",1,0)</formula>
    </cfRule>
  </conditionalFormatting>
  <conditionalFormatting sqref="J63">
    <cfRule type="expression" dxfId="0" priority="1" stopIfTrue="1">
      <formula>IF(#REF!="Yes",1,0)</formula>
    </cfRule>
  </conditionalFormatting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04F97-3505-4CEF-9E8D-1F59BF005A92}">
  <dimension ref="A1:B237"/>
  <sheetViews>
    <sheetView workbookViewId="0">
      <selection activeCell="A14" sqref="A14"/>
    </sheetView>
  </sheetViews>
  <sheetFormatPr defaultRowHeight="15" x14ac:dyDescent="0.25"/>
  <cols>
    <col min="1" max="1" width="122.140625" bestFit="1" customWidth="1"/>
    <col min="2" max="2" width="61.140625" customWidth="1"/>
  </cols>
  <sheetData>
    <row r="1" spans="1:2" x14ac:dyDescent="0.25">
      <c r="A1" s="7" t="s">
        <v>420</v>
      </c>
      <c r="B1" s="18" t="s">
        <v>421</v>
      </c>
    </row>
    <row r="3" spans="1:2" x14ac:dyDescent="0.25">
      <c r="A3" s="26" t="s">
        <v>422</v>
      </c>
      <c r="B3" s="25" t="s">
        <v>423</v>
      </c>
    </row>
    <row r="5" spans="1:2" x14ac:dyDescent="0.25">
      <c r="A5" s="7" t="s">
        <v>424</v>
      </c>
      <c r="B5" s="18"/>
    </row>
    <row r="6" spans="1:2" x14ac:dyDescent="0.25">
      <c r="A6" s="18"/>
      <c r="B6" s="26"/>
    </row>
    <row r="7" spans="1:2" x14ac:dyDescent="0.25">
      <c r="A7" s="19" t="s">
        <v>425</v>
      </c>
      <c r="B7" s="26"/>
    </row>
    <row r="8" spans="1:2" x14ac:dyDescent="0.25">
      <c r="A8" s="19" t="s">
        <v>426</v>
      </c>
      <c r="B8" s="18"/>
    </row>
    <row r="9" spans="1:2" x14ac:dyDescent="0.25">
      <c r="A9" s="19" t="s">
        <v>427</v>
      </c>
      <c r="B9" s="18"/>
    </row>
    <row r="10" spans="1:2" x14ac:dyDescent="0.25">
      <c r="A10" s="19" t="s">
        <v>428</v>
      </c>
      <c r="B10" s="26"/>
    </row>
    <row r="11" spans="1:2" x14ac:dyDescent="0.25">
      <c r="A11" s="19" t="s">
        <v>429</v>
      </c>
      <c r="B11" s="18"/>
    </row>
    <row r="12" spans="1:2" x14ac:dyDescent="0.25">
      <c r="A12" s="19" t="s">
        <v>430</v>
      </c>
      <c r="B12" s="18"/>
    </row>
    <row r="13" spans="1:2" x14ac:dyDescent="0.25">
      <c r="A13" s="19" t="s">
        <v>431</v>
      </c>
      <c r="B13" s="18"/>
    </row>
    <row r="14" spans="1:2" x14ac:dyDescent="0.25">
      <c r="A14" s="19" t="s">
        <v>29</v>
      </c>
      <c r="B14" s="18"/>
    </row>
    <row r="15" spans="1:2" x14ac:dyDescent="0.25">
      <c r="A15" s="19" t="s">
        <v>432</v>
      </c>
      <c r="B15" s="18"/>
    </row>
    <row r="16" spans="1:2" x14ac:dyDescent="0.25">
      <c r="A16" s="19" t="s">
        <v>433</v>
      </c>
      <c r="B16" s="18"/>
    </row>
    <row r="17" spans="1:2" x14ac:dyDescent="0.25">
      <c r="A17" s="19" t="s">
        <v>434</v>
      </c>
      <c r="B17" s="18"/>
    </row>
    <row r="18" spans="1:2" x14ac:dyDescent="0.25">
      <c r="A18" s="19" t="s">
        <v>435</v>
      </c>
      <c r="B18" s="18"/>
    </row>
    <row r="19" spans="1:2" x14ac:dyDescent="0.25">
      <c r="A19" s="19" t="s">
        <v>436</v>
      </c>
      <c r="B19" s="18"/>
    </row>
    <row r="20" spans="1:2" x14ac:dyDescent="0.25">
      <c r="A20" s="19" t="s">
        <v>437</v>
      </c>
      <c r="B20" s="18"/>
    </row>
    <row r="21" spans="1:2" x14ac:dyDescent="0.25">
      <c r="A21" s="19" t="s">
        <v>438</v>
      </c>
      <c r="B21" s="18"/>
    </row>
    <row r="22" spans="1:2" x14ac:dyDescent="0.25">
      <c r="A22" s="19" t="s">
        <v>439</v>
      </c>
      <c r="B22" s="18"/>
    </row>
    <row r="23" spans="1:2" x14ac:dyDescent="0.25">
      <c r="A23" s="19" t="s">
        <v>440</v>
      </c>
      <c r="B23" s="18"/>
    </row>
    <row r="24" spans="1:2" x14ac:dyDescent="0.25">
      <c r="A24" s="19" t="s">
        <v>441</v>
      </c>
      <c r="B24" s="18"/>
    </row>
    <row r="25" spans="1:2" x14ac:dyDescent="0.25">
      <c r="A25" s="19" t="s">
        <v>442</v>
      </c>
      <c r="B25" s="18"/>
    </row>
    <row r="26" spans="1:2" x14ac:dyDescent="0.25">
      <c r="A26" s="19" t="s">
        <v>443</v>
      </c>
      <c r="B26" s="18"/>
    </row>
    <row r="27" spans="1:2" x14ac:dyDescent="0.25">
      <c r="A27" s="19" t="s">
        <v>444</v>
      </c>
      <c r="B27" s="18"/>
    </row>
    <row r="28" spans="1:2" x14ac:dyDescent="0.25">
      <c r="A28" s="19" t="s">
        <v>445</v>
      </c>
      <c r="B28" s="18"/>
    </row>
    <row r="29" spans="1:2" x14ac:dyDescent="0.25">
      <c r="A29" s="19" t="s">
        <v>446</v>
      </c>
      <c r="B29" s="18"/>
    </row>
    <row r="30" spans="1:2" x14ac:dyDescent="0.25">
      <c r="A30" s="19" t="s">
        <v>447</v>
      </c>
      <c r="B30" s="18"/>
    </row>
    <row r="31" spans="1:2" x14ac:dyDescent="0.25">
      <c r="A31" s="19" t="s">
        <v>448</v>
      </c>
      <c r="B31" s="18"/>
    </row>
    <row r="32" spans="1:2" x14ac:dyDescent="0.25">
      <c r="A32" s="19" t="s">
        <v>449</v>
      </c>
      <c r="B32" s="18"/>
    </row>
    <row r="33" spans="1:2" x14ac:dyDescent="0.25">
      <c r="A33" s="19" t="s">
        <v>450</v>
      </c>
      <c r="B33" s="18"/>
    </row>
    <row r="34" spans="1:2" x14ac:dyDescent="0.25">
      <c r="A34" s="19" t="s">
        <v>451</v>
      </c>
      <c r="B34" s="18"/>
    </row>
    <row r="35" spans="1:2" x14ac:dyDescent="0.25">
      <c r="A35" s="19" t="s">
        <v>452</v>
      </c>
      <c r="B35" s="18"/>
    </row>
    <row r="36" spans="1:2" x14ac:dyDescent="0.25">
      <c r="A36" s="19" t="s">
        <v>453</v>
      </c>
      <c r="B36" s="18"/>
    </row>
    <row r="37" spans="1:2" x14ac:dyDescent="0.25">
      <c r="A37" s="19" t="s">
        <v>454</v>
      </c>
      <c r="B37" s="18"/>
    </row>
    <row r="38" spans="1:2" x14ac:dyDescent="0.25">
      <c r="A38" s="19" t="s">
        <v>455</v>
      </c>
      <c r="B38" s="18"/>
    </row>
    <row r="39" spans="1:2" x14ac:dyDescent="0.25">
      <c r="A39" s="19" t="s">
        <v>456</v>
      </c>
      <c r="B39" s="18"/>
    </row>
    <row r="40" spans="1:2" x14ac:dyDescent="0.25">
      <c r="A40" s="19" t="s">
        <v>457</v>
      </c>
      <c r="B40" s="18"/>
    </row>
    <row r="41" spans="1:2" x14ac:dyDescent="0.25">
      <c r="A41" s="19" t="s">
        <v>458</v>
      </c>
      <c r="B41" s="18"/>
    </row>
    <row r="42" spans="1:2" x14ac:dyDescent="0.25">
      <c r="A42" s="19" t="s">
        <v>459</v>
      </c>
      <c r="B42" s="18"/>
    </row>
    <row r="43" spans="1:2" x14ac:dyDescent="0.25">
      <c r="A43" s="19" t="s">
        <v>460</v>
      </c>
      <c r="B43" s="18"/>
    </row>
    <row r="44" spans="1:2" x14ac:dyDescent="0.25">
      <c r="A44" s="19" t="s">
        <v>461</v>
      </c>
      <c r="B44" s="18"/>
    </row>
    <row r="45" spans="1:2" x14ac:dyDescent="0.25">
      <c r="A45" s="19" t="s">
        <v>462</v>
      </c>
      <c r="B45" s="18"/>
    </row>
    <row r="46" spans="1:2" x14ac:dyDescent="0.25">
      <c r="A46" s="19" t="s">
        <v>463</v>
      </c>
      <c r="B46" s="18"/>
    </row>
    <row r="47" spans="1:2" x14ac:dyDescent="0.25">
      <c r="A47" s="19" t="s">
        <v>464</v>
      </c>
      <c r="B47" s="18"/>
    </row>
    <row r="48" spans="1:2" x14ac:dyDescent="0.25">
      <c r="A48" s="19" t="s">
        <v>465</v>
      </c>
      <c r="B48" s="18"/>
    </row>
    <row r="49" spans="1:2" x14ac:dyDescent="0.25">
      <c r="A49" s="19" t="s">
        <v>466</v>
      </c>
      <c r="B49" s="18"/>
    </row>
    <row r="50" spans="1:2" x14ac:dyDescent="0.25">
      <c r="A50" s="19" t="s">
        <v>467</v>
      </c>
      <c r="B50" s="18"/>
    </row>
    <row r="51" spans="1:2" x14ac:dyDescent="0.25">
      <c r="A51" s="19" t="s">
        <v>468</v>
      </c>
      <c r="B51" s="18"/>
    </row>
    <row r="52" spans="1:2" x14ac:dyDescent="0.25">
      <c r="A52" s="19" t="s">
        <v>469</v>
      </c>
      <c r="B52" s="18"/>
    </row>
    <row r="53" spans="1:2" x14ac:dyDescent="0.25">
      <c r="A53" s="19" t="s">
        <v>470</v>
      </c>
      <c r="B53" s="18"/>
    </row>
    <row r="54" spans="1:2" x14ac:dyDescent="0.25">
      <c r="A54" s="19" t="s">
        <v>471</v>
      </c>
      <c r="B54" s="18"/>
    </row>
    <row r="55" spans="1:2" x14ac:dyDescent="0.25">
      <c r="A55" s="19" t="s">
        <v>472</v>
      </c>
      <c r="B55" s="18"/>
    </row>
    <row r="56" spans="1:2" x14ac:dyDescent="0.25">
      <c r="A56" s="19" t="s">
        <v>473</v>
      </c>
      <c r="B56" s="18"/>
    </row>
    <row r="57" spans="1:2" x14ac:dyDescent="0.25">
      <c r="A57" s="19" t="s">
        <v>474</v>
      </c>
      <c r="B57" s="18"/>
    </row>
    <row r="58" spans="1:2" x14ac:dyDescent="0.25">
      <c r="A58" s="19" t="s">
        <v>475</v>
      </c>
      <c r="B58" s="18"/>
    </row>
    <row r="59" spans="1:2" x14ac:dyDescent="0.25">
      <c r="A59" s="19" t="s">
        <v>476</v>
      </c>
      <c r="B59" s="18"/>
    </row>
    <row r="60" spans="1:2" x14ac:dyDescent="0.25">
      <c r="A60" s="19" t="s">
        <v>477</v>
      </c>
      <c r="B60" s="18"/>
    </row>
    <row r="61" spans="1:2" x14ac:dyDescent="0.25">
      <c r="A61" s="19" t="s">
        <v>478</v>
      </c>
      <c r="B61" s="18"/>
    </row>
    <row r="62" spans="1:2" x14ac:dyDescent="0.25">
      <c r="A62" s="19" t="s">
        <v>479</v>
      </c>
      <c r="B62" s="18"/>
    </row>
    <row r="63" spans="1:2" x14ac:dyDescent="0.25">
      <c r="A63" s="19" t="s">
        <v>480</v>
      </c>
      <c r="B63" s="18"/>
    </row>
    <row r="64" spans="1:2" x14ac:dyDescent="0.25">
      <c r="A64" s="19" t="s">
        <v>481</v>
      </c>
      <c r="B64" s="18"/>
    </row>
    <row r="65" spans="1:2" x14ac:dyDescent="0.25">
      <c r="A65" s="19" t="s">
        <v>482</v>
      </c>
      <c r="B65" s="18"/>
    </row>
    <row r="66" spans="1:2" x14ac:dyDescent="0.25">
      <c r="A66" s="19" t="s">
        <v>483</v>
      </c>
      <c r="B66" s="18"/>
    </row>
    <row r="67" spans="1:2" x14ac:dyDescent="0.25">
      <c r="A67" s="19" t="s">
        <v>484</v>
      </c>
      <c r="B67" s="18"/>
    </row>
    <row r="68" spans="1:2" x14ac:dyDescent="0.25">
      <c r="A68" s="19" t="s">
        <v>485</v>
      </c>
      <c r="B68" s="18"/>
    </row>
    <row r="69" spans="1:2" x14ac:dyDescent="0.25">
      <c r="A69" s="19" t="s">
        <v>486</v>
      </c>
      <c r="B69" s="18"/>
    </row>
    <row r="70" spans="1:2" x14ac:dyDescent="0.25">
      <c r="A70" s="19" t="s">
        <v>487</v>
      </c>
      <c r="B70" s="18"/>
    </row>
    <row r="71" spans="1:2" x14ac:dyDescent="0.25">
      <c r="A71" s="19" t="s">
        <v>29</v>
      </c>
      <c r="B71" s="18"/>
    </row>
    <row r="72" spans="1:2" x14ac:dyDescent="0.25">
      <c r="A72" s="19" t="s">
        <v>488</v>
      </c>
      <c r="B72" s="18"/>
    </row>
    <row r="73" spans="1:2" x14ac:dyDescent="0.25">
      <c r="A73" s="19" t="s">
        <v>489</v>
      </c>
      <c r="B73" s="18"/>
    </row>
    <row r="74" spans="1:2" x14ac:dyDescent="0.25">
      <c r="A74" s="19" t="s">
        <v>490</v>
      </c>
      <c r="B74" s="18"/>
    </row>
    <row r="75" spans="1:2" x14ac:dyDescent="0.25">
      <c r="A75" s="19" t="s">
        <v>491</v>
      </c>
      <c r="B75" s="18"/>
    </row>
    <row r="76" spans="1:2" x14ac:dyDescent="0.25">
      <c r="A76" s="19" t="s">
        <v>492</v>
      </c>
      <c r="B76" s="18"/>
    </row>
    <row r="77" spans="1:2" x14ac:dyDescent="0.25">
      <c r="A77" s="19" t="s">
        <v>493</v>
      </c>
      <c r="B77" s="18"/>
    </row>
    <row r="78" spans="1:2" x14ac:dyDescent="0.25">
      <c r="A78" s="19" t="s">
        <v>494</v>
      </c>
      <c r="B78" s="18"/>
    </row>
    <row r="79" spans="1:2" x14ac:dyDescent="0.25">
      <c r="A79" s="19" t="s">
        <v>495</v>
      </c>
      <c r="B79" s="18"/>
    </row>
    <row r="80" spans="1:2" x14ac:dyDescent="0.25">
      <c r="A80" s="19" t="s">
        <v>496</v>
      </c>
      <c r="B80" s="18"/>
    </row>
    <row r="81" spans="1:2" x14ac:dyDescent="0.25">
      <c r="A81" s="19" t="s">
        <v>497</v>
      </c>
      <c r="B81" s="18"/>
    </row>
    <row r="82" spans="1:2" x14ac:dyDescent="0.25">
      <c r="A82" s="19" t="s">
        <v>498</v>
      </c>
      <c r="B82" s="18"/>
    </row>
    <row r="83" spans="1:2" x14ac:dyDescent="0.25">
      <c r="A83" s="19" t="s">
        <v>499</v>
      </c>
      <c r="B83" s="18"/>
    </row>
    <row r="84" spans="1:2" x14ac:dyDescent="0.25">
      <c r="A84" s="19" t="s">
        <v>500</v>
      </c>
      <c r="B84" s="18"/>
    </row>
    <row r="85" spans="1:2" x14ac:dyDescent="0.25">
      <c r="A85" s="19" t="s">
        <v>501</v>
      </c>
      <c r="B85" s="18"/>
    </row>
    <row r="86" spans="1:2" x14ac:dyDescent="0.25">
      <c r="A86" s="19" t="s">
        <v>502</v>
      </c>
      <c r="B86" s="18"/>
    </row>
    <row r="87" spans="1:2" x14ac:dyDescent="0.25">
      <c r="A87" s="19" t="s">
        <v>503</v>
      </c>
      <c r="B87" s="18"/>
    </row>
    <row r="88" spans="1:2" x14ac:dyDescent="0.25">
      <c r="A88" s="19" t="s">
        <v>504</v>
      </c>
      <c r="B88" s="18"/>
    </row>
    <row r="89" spans="1:2" x14ac:dyDescent="0.25">
      <c r="A89" s="19" t="s">
        <v>505</v>
      </c>
      <c r="B89" s="18"/>
    </row>
    <row r="90" spans="1:2" x14ac:dyDescent="0.25">
      <c r="A90" s="19" t="s">
        <v>506</v>
      </c>
      <c r="B90" s="18"/>
    </row>
    <row r="91" spans="1:2" x14ac:dyDescent="0.25">
      <c r="A91" s="19" t="s">
        <v>507</v>
      </c>
      <c r="B91" s="18"/>
    </row>
    <row r="92" spans="1:2" x14ac:dyDescent="0.25">
      <c r="A92" s="19" t="s">
        <v>508</v>
      </c>
      <c r="B92" s="18"/>
    </row>
    <row r="93" spans="1:2" x14ac:dyDescent="0.25">
      <c r="A93" s="19" t="s">
        <v>509</v>
      </c>
      <c r="B93" s="18"/>
    </row>
    <row r="94" spans="1:2" x14ac:dyDescent="0.25">
      <c r="A94" s="19" t="s">
        <v>510</v>
      </c>
      <c r="B94" s="18"/>
    </row>
    <row r="95" spans="1:2" x14ac:dyDescent="0.25">
      <c r="A95" s="19" t="s">
        <v>511</v>
      </c>
      <c r="B95" s="18"/>
    </row>
    <row r="96" spans="1:2" x14ac:dyDescent="0.25">
      <c r="A96" s="19" t="s">
        <v>512</v>
      </c>
      <c r="B96" s="18"/>
    </row>
    <row r="97" spans="1:2" x14ac:dyDescent="0.25">
      <c r="A97" s="19" t="s">
        <v>513</v>
      </c>
      <c r="B97" s="18"/>
    </row>
    <row r="98" spans="1:2" x14ac:dyDescent="0.25">
      <c r="A98" s="19" t="s">
        <v>514</v>
      </c>
      <c r="B98" s="18"/>
    </row>
    <row r="99" spans="1:2" x14ac:dyDescent="0.25">
      <c r="A99" s="19" t="s">
        <v>515</v>
      </c>
      <c r="B99" s="18"/>
    </row>
    <row r="100" spans="1:2" x14ac:dyDescent="0.25">
      <c r="A100" s="19" t="s">
        <v>516</v>
      </c>
      <c r="B100" s="18"/>
    </row>
    <row r="101" spans="1:2" x14ac:dyDescent="0.25">
      <c r="A101" s="19" t="s">
        <v>517</v>
      </c>
      <c r="B101" s="18"/>
    </row>
    <row r="102" spans="1:2" x14ac:dyDescent="0.25">
      <c r="A102" s="19" t="s">
        <v>518</v>
      </c>
      <c r="B102" s="18"/>
    </row>
    <row r="103" spans="1:2" x14ac:dyDescent="0.25">
      <c r="A103" s="19" t="s">
        <v>519</v>
      </c>
      <c r="B103" s="18"/>
    </row>
    <row r="104" spans="1:2" x14ac:dyDescent="0.25">
      <c r="A104" s="19" t="s">
        <v>520</v>
      </c>
      <c r="B104" s="18"/>
    </row>
    <row r="105" spans="1:2" x14ac:dyDescent="0.25">
      <c r="A105" s="19" t="s">
        <v>521</v>
      </c>
      <c r="B105" s="18"/>
    </row>
    <row r="106" spans="1:2" x14ac:dyDescent="0.25">
      <c r="A106" s="19" t="s">
        <v>522</v>
      </c>
      <c r="B106" s="18"/>
    </row>
    <row r="107" spans="1:2" x14ac:dyDescent="0.25">
      <c r="A107" s="19" t="s">
        <v>523</v>
      </c>
      <c r="B107" s="18"/>
    </row>
    <row r="108" spans="1:2" x14ac:dyDescent="0.25">
      <c r="A108" s="19" t="s">
        <v>524</v>
      </c>
      <c r="B108" s="18"/>
    </row>
    <row r="109" spans="1:2" x14ac:dyDescent="0.25">
      <c r="A109" s="19" t="s">
        <v>525</v>
      </c>
      <c r="B109" s="18"/>
    </row>
    <row r="110" spans="1:2" x14ac:dyDescent="0.25">
      <c r="A110" s="19" t="s">
        <v>526</v>
      </c>
      <c r="B110" s="18"/>
    </row>
    <row r="111" spans="1:2" x14ac:dyDescent="0.25">
      <c r="A111" s="19" t="s">
        <v>527</v>
      </c>
      <c r="B111" s="18"/>
    </row>
    <row r="112" spans="1:2" x14ac:dyDescent="0.25">
      <c r="A112" s="19" t="s">
        <v>528</v>
      </c>
      <c r="B112" s="18"/>
    </row>
    <row r="113" spans="1:2" x14ac:dyDescent="0.25">
      <c r="A113" s="19" t="s">
        <v>529</v>
      </c>
      <c r="B113" s="18"/>
    </row>
    <row r="114" spans="1:2" x14ac:dyDescent="0.25">
      <c r="A114" s="19" t="s">
        <v>530</v>
      </c>
      <c r="B114" s="18"/>
    </row>
    <row r="115" spans="1:2" x14ac:dyDescent="0.25">
      <c r="A115" s="19" t="s">
        <v>531</v>
      </c>
      <c r="B115" s="18"/>
    </row>
    <row r="116" spans="1:2" x14ac:dyDescent="0.25">
      <c r="A116" s="19" t="s">
        <v>532</v>
      </c>
      <c r="B116" s="18"/>
    </row>
    <row r="117" spans="1:2" x14ac:dyDescent="0.25">
      <c r="A117" s="19" t="s">
        <v>533</v>
      </c>
      <c r="B117" s="18"/>
    </row>
    <row r="118" spans="1:2" x14ac:dyDescent="0.25">
      <c r="A118" s="19" t="s">
        <v>534</v>
      </c>
      <c r="B118" s="18"/>
    </row>
    <row r="119" spans="1:2" x14ac:dyDescent="0.25">
      <c r="A119" s="19" t="s">
        <v>535</v>
      </c>
      <c r="B119" s="18"/>
    </row>
    <row r="120" spans="1:2" x14ac:dyDescent="0.25">
      <c r="A120" s="19" t="s">
        <v>536</v>
      </c>
      <c r="B120" s="18"/>
    </row>
    <row r="121" spans="1:2" x14ac:dyDescent="0.25">
      <c r="A121" s="19" t="s">
        <v>537</v>
      </c>
      <c r="B121" s="18"/>
    </row>
    <row r="122" spans="1:2" x14ac:dyDescent="0.25">
      <c r="A122" s="19" t="s">
        <v>538</v>
      </c>
      <c r="B122" s="18"/>
    </row>
    <row r="123" spans="1:2" x14ac:dyDescent="0.25">
      <c r="A123" s="19" t="s">
        <v>539</v>
      </c>
      <c r="B123" s="18"/>
    </row>
    <row r="124" spans="1:2" x14ac:dyDescent="0.25">
      <c r="A124" s="19" t="s">
        <v>540</v>
      </c>
      <c r="B124" s="18"/>
    </row>
    <row r="125" spans="1:2" x14ac:dyDescent="0.25">
      <c r="A125" s="19" t="s">
        <v>541</v>
      </c>
      <c r="B125" s="18"/>
    </row>
    <row r="126" spans="1:2" x14ac:dyDescent="0.25">
      <c r="A126" s="19" t="s">
        <v>542</v>
      </c>
      <c r="B126" s="18"/>
    </row>
    <row r="127" spans="1:2" x14ac:dyDescent="0.25">
      <c r="A127" s="19" t="s">
        <v>543</v>
      </c>
      <c r="B127" s="18"/>
    </row>
    <row r="128" spans="1:2" x14ac:dyDescent="0.25">
      <c r="A128" s="19" t="s">
        <v>544</v>
      </c>
      <c r="B128" s="18"/>
    </row>
    <row r="129" spans="1:2" x14ac:dyDescent="0.25">
      <c r="A129" s="19" t="s">
        <v>545</v>
      </c>
      <c r="B129" s="18"/>
    </row>
    <row r="130" spans="1:2" x14ac:dyDescent="0.25">
      <c r="A130" s="19" t="s">
        <v>546</v>
      </c>
      <c r="B130" s="18"/>
    </row>
    <row r="131" spans="1:2" x14ac:dyDescent="0.25">
      <c r="A131" s="19" t="s">
        <v>547</v>
      </c>
      <c r="B131" s="18"/>
    </row>
    <row r="132" spans="1:2" x14ac:dyDescent="0.25">
      <c r="A132" s="19" t="s">
        <v>548</v>
      </c>
      <c r="B132" s="18"/>
    </row>
    <row r="133" spans="1:2" x14ac:dyDescent="0.25">
      <c r="A133" s="19" t="s">
        <v>549</v>
      </c>
      <c r="B133" s="18"/>
    </row>
    <row r="134" spans="1:2" x14ac:dyDescent="0.25">
      <c r="A134" s="19" t="s">
        <v>550</v>
      </c>
      <c r="B134" s="18"/>
    </row>
    <row r="135" spans="1:2" x14ac:dyDescent="0.25">
      <c r="A135" s="19" t="s">
        <v>551</v>
      </c>
      <c r="B135" s="18"/>
    </row>
    <row r="136" spans="1:2" x14ac:dyDescent="0.25">
      <c r="A136" s="19" t="s">
        <v>552</v>
      </c>
      <c r="B136" s="18"/>
    </row>
    <row r="137" spans="1:2" x14ac:dyDescent="0.25">
      <c r="A137" s="19" t="s">
        <v>553</v>
      </c>
      <c r="B137" s="18"/>
    </row>
    <row r="138" spans="1:2" x14ac:dyDescent="0.25">
      <c r="A138" s="19" t="s">
        <v>554</v>
      </c>
      <c r="B138" s="18"/>
    </row>
    <row r="139" spans="1:2" x14ac:dyDescent="0.25">
      <c r="A139" s="19" t="s">
        <v>555</v>
      </c>
      <c r="B139" s="18"/>
    </row>
    <row r="140" spans="1:2" x14ac:dyDescent="0.25">
      <c r="A140" s="19" t="s">
        <v>556</v>
      </c>
      <c r="B140" s="18"/>
    </row>
    <row r="141" spans="1:2" x14ac:dyDescent="0.25">
      <c r="A141" s="19" t="s">
        <v>557</v>
      </c>
      <c r="B141" s="18"/>
    </row>
    <row r="142" spans="1:2" x14ac:dyDescent="0.25">
      <c r="A142" s="19" t="s">
        <v>558</v>
      </c>
      <c r="B142" s="18"/>
    </row>
    <row r="143" spans="1:2" x14ac:dyDescent="0.25">
      <c r="A143" s="19" t="s">
        <v>559</v>
      </c>
      <c r="B143" s="18"/>
    </row>
    <row r="144" spans="1:2" x14ac:dyDescent="0.25">
      <c r="A144" s="19" t="s">
        <v>560</v>
      </c>
      <c r="B144" s="18"/>
    </row>
    <row r="145" spans="1:2" x14ac:dyDescent="0.25">
      <c r="A145" s="19" t="s">
        <v>561</v>
      </c>
      <c r="B145" s="18"/>
    </row>
    <row r="146" spans="1:2" x14ac:dyDescent="0.25">
      <c r="A146" s="19" t="s">
        <v>562</v>
      </c>
      <c r="B146" s="18"/>
    </row>
    <row r="147" spans="1:2" x14ac:dyDescent="0.25">
      <c r="A147" s="19" t="s">
        <v>563</v>
      </c>
      <c r="B147" s="18"/>
    </row>
    <row r="148" spans="1:2" x14ac:dyDescent="0.25">
      <c r="A148" s="19" t="s">
        <v>564</v>
      </c>
      <c r="B148" s="18"/>
    </row>
    <row r="149" spans="1:2" x14ac:dyDescent="0.25">
      <c r="A149" s="19" t="s">
        <v>565</v>
      </c>
      <c r="B149" s="18"/>
    </row>
    <row r="150" spans="1:2" x14ac:dyDescent="0.25">
      <c r="A150" s="19" t="s">
        <v>566</v>
      </c>
      <c r="B150" s="18"/>
    </row>
    <row r="152" spans="1:2" x14ac:dyDescent="0.25">
      <c r="A152" s="19" t="s">
        <v>567</v>
      </c>
      <c r="B152" s="18"/>
    </row>
    <row r="153" spans="1:2" x14ac:dyDescent="0.25">
      <c r="A153" s="19" t="s">
        <v>568</v>
      </c>
      <c r="B153" s="18"/>
    </row>
    <row r="154" spans="1:2" x14ac:dyDescent="0.25">
      <c r="A154" s="19" t="s">
        <v>569</v>
      </c>
      <c r="B154" s="18"/>
    </row>
    <row r="155" spans="1:2" x14ac:dyDescent="0.25">
      <c r="A155" s="19" t="s">
        <v>570</v>
      </c>
      <c r="B155" s="18"/>
    </row>
    <row r="156" spans="1:2" x14ac:dyDescent="0.25">
      <c r="A156" s="19" t="s">
        <v>571</v>
      </c>
      <c r="B156" s="18"/>
    </row>
    <row r="157" spans="1:2" x14ac:dyDescent="0.25">
      <c r="A157" s="19" t="s">
        <v>572</v>
      </c>
      <c r="B157" s="18"/>
    </row>
    <row r="158" spans="1:2" x14ac:dyDescent="0.25">
      <c r="A158" s="19" t="s">
        <v>573</v>
      </c>
      <c r="B158" s="18"/>
    </row>
    <row r="159" spans="1:2" x14ac:dyDescent="0.25">
      <c r="A159" s="19" t="s">
        <v>574</v>
      </c>
      <c r="B159" s="18"/>
    </row>
    <row r="160" spans="1:2" x14ac:dyDescent="0.25">
      <c r="A160" s="19" t="s">
        <v>575</v>
      </c>
      <c r="B160" s="18"/>
    </row>
    <row r="161" spans="1:2" x14ac:dyDescent="0.25">
      <c r="A161" s="19" t="s">
        <v>576</v>
      </c>
      <c r="B161" s="18"/>
    </row>
    <row r="162" spans="1:2" x14ac:dyDescent="0.25">
      <c r="A162" s="19" t="s">
        <v>577</v>
      </c>
      <c r="B162" s="18"/>
    </row>
    <row r="163" spans="1:2" x14ac:dyDescent="0.25">
      <c r="A163" s="19" t="s">
        <v>578</v>
      </c>
      <c r="B163" s="18"/>
    </row>
    <row r="164" spans="1:2" x14ac:dyDescent="0.25">
      <c r="A164" s="19" t="s">
        <v>579</v>
      </c>
      <c r="B164" s="18"/>
    </row>
    <row r="165" spans="1:2" x14ac:dyDescent="0.25">
      <c r="A165" s="19" t="s">
        <v>580</v>
      </c>
      <c r="B165" s="18"/>
    </row>
    <row r="166" spans="1:2" x14ac:dyDescent="0.25">
      <c r="A166" s="19" t="s">
        <v>581</v>
      </c>
      <c r="B166" s="18"/>
    </row>
    <row r="167" spans="1:2" x14ac:dyDescent="0.25">
      <c r="A167" s="19" t="s">
        <v>582</v>
      </c>
      <c r="B167" s="18"/>
    </row>
    <row r="168" spans="1:2" x14ac:dyDescent="0.25">
      <c r="A168" s="19" t="s">
        <v>583</v>
      </c>
      <c r="B168" s="18"/>
    </row>
    <row r="171" spans="1:2" x14ac:dyDescent="0.25">
      <c r="A171" s="7" t="s">
        <v>584</v>
      </c>
      <c r="B171" s="18"/>
    </row>
    <row r="172" spans="1:2" x14ac:dyDescent="0.25">
      <c r="A172" s="18" t="s">
        <v>585</v>
      </c>
      <c r="B172" s="18"/>
    </row>
    <row r="173" spans="1:2" x14ac:dyDescent="0.25">
      <c r="A173" s="18" t="s">
        <v>586</v>
      </c>
      <c r="B173" s="18"/>
    </row>
    <row r="174" spans="1:2" x14ac:dyDescent="0.25">
      <c r="A174" s="18" t="s">
        <v>587</v>
      </c>
      <c r="B174" s="18"/>
    </row>
    <row r="175" spans="1:2" x14ac:dyDescent="0.25">
      <c r="A175" s="18" t="s">
        <v>588</v>
      </c>
      <c r="B175" s="18"/>
    </row>
    <row r="176" spans="1:2" x14ac:dyDescent="0.25">
      <c r="A176" s="18" t="s">
        <v>589</v>
      </c>
      <c r="B176" s="18"/>
    </row>
    <row r="177" spans="1:2" x14ac:dyDescent="0.25">
      <c r="A177" s="18" t="s">
        <v>590</v>
      </c>
      <c r="B177" s="18"/>
    </row>
    <row r="178" spans="1:2" x14ac:dyDescent="0.25">
      <c r="A178" s="18" t="s">
        <v>591</v>
      </c>
      <c r="B178" s="18"/>
    </row>
    <row r="179" spans="1:2" x14ac:dyDescent="0.25">
      <c r="A179" s="18" t="s">
        <v>592</v>
      </c>
      <c r="B179" s="18"/>
    </row>
    <row r="180" spans="1:2" x14ac:dyDescent="0.25">
      <c r="A180" s="18" t="s">
        <v>593</v>
      </c>
      <c r="B180" s="18"/>
    </row>
    <row r="181" spans="1:2" x14ac:dyDescent="0.25">
      <c r="A181" s="18" t="s">
        <v>594</v>
      </c>
      <c r="B181" s="18"/>
    </row>
    <row r="182" spans="1:2" x14ac:dyDescent="0.25">
      <c r="A182" s="18" t="s">
        <v>29</v>
      </c>
      <c r="B182" s="18"/>
    </row>
    <row r="183" spans="1:2" x14ac:dyDescent="0.25">
      <c r="A183" s="18" t="s">
        <v>595</v>
      </c>
      <c r="B183" s="18"/>
    </row>
    <row r="184" spans="1:2" x14ac:dyDescent="0.25">
      <c r="A184" s="18" t="s">
        <v>596</v>
      </c>
      <c r="B184" s="18"/>
    </row>
    <row r="185" spans="1:2" x14ac:dyDescent="0.25">
      <c r="A185" s="18" t="s">
        <v>597</v>
      </c>
      <c r="B185" s="18"/>
    </row>
    <row r="186" spans="1:2" x14ac:dyDescent="0.25">
      <c r="A186" s="18" t="s">
        <v>598</v>
      </c>
      <c r="B186" s="18"/>
    </row>
    <row r="187" spans="1:2" x14ac:dyDescent="0.25">
      <c r="A187" s="18" t="s">
        <v>599</v>
      </c>
      <c r="B187" s="18"/>
    </row>
    <row r="188" spans="1:2" x14ac:dyDescent="0.25">
      <c r="A188" s="18" t="s">
        <v>600</v>
      </c>
      <c r="B188" s="18"/>
    </row>
    <row r="189" spans="1:2" x14ac:dyDescent="0.25">
      <c r="A189" s="18" t="s">
        <v>601</v>
      </c>
      <c r="B189" s="18"/>
    </row>
    <row r="190" spans="1:2" x14ac:dyDescent="0.25">
      <c r="A190" s="18" t="s">
        <v>602</v>
      </c>
      <c r="B190" s="18"/>
    </row>
    <row r="191" spans="1:2" x14ac:dyDescent="0.25">
      <c r="A191" s="18" t="s">
        <v>603</v>
      </c>
      <c r="B191" s="18"/>
    </row>
    <row r="192" spans="1:2" x14ac:dyDescent="0.25">
      <c r="A192" s="18" t="s">
        <v>604</v>
      </c>
      <c r="B192" s="18"/>
    </row>
    <row r="193" spans="1:2" x14ac:dyDescent="0.25">
      <c r="A193" s="18" t="s">
        <v>605</v>
      </c>
      <c r="B193" s="18"/>
    </row>
    <row r="196" spans="1:2" x14ac:dyDescent="0.25">
      <c r="A196" s="7" t="s">
        <v>606</v>
      </c>
      <c r="B196" s="18"/>
    </row>
    <row r="197" spans="1:2" x14ac:dyDescent="0.25">
      <c r="A197" s="19" t="s">
        <v>607</v>
      </c>
      <c r="B197" s="18"/>
    </row>
    <row r="198" spans="1:2" x14ac:dyDescent="0.25">
      <c r="A198" s="19" t="s">
        <v>608</v>
      </c>
      <c r="B198" s="18"/>
    </row>
    <row r="199" spans="1:2" x14ac:dyDescent="0.25">
      <c r="A199" s="19" t="s">
        <v>609</v>
      </c>
      <c r="B199" s="18"/>
    </row>
    <row r="200" spans="1:2" x14ac:dyDescent="0.25">
      <c r="A200" s="19" t="s">
        <v>610</v>
      </c>
      <c r="B200" s="18"/>
    </row>
    <row r="201" spans="1:2" x14ac:dyDescent="0.25">
      <c r="A201" s="19" t="s">
        <v>611</v>
      </c>
      <c r="B201" s="18"/>
    </row>
    <row r="202" spans="1:2" x14ac:dyDescent="0.25">
      <c r="A202" s="19" t="s">
        <v>612</v>
      </c>
      <c r="B202" s="18"/>
    </row>
    <row r="203" spans="1:2" x14ac:dyDescent="0.25">
      <c r="A203" s="19" t="s">
        <v>613</v>
      </c>
      <c r="B203" s="18"/>
    </row>
    <row r="204" spans="1:2" x14ac:dyDescent="0.25">
      <c r="A204" s="19" t="s">
        <v>614</v>
      </c>
      <c r="B204" s="18"/>
    </row>
    <row r="205" spans="1:2" x14ac:dyDescent="0.25">
      <c r="A205" s="19" t="s">
        <v>615</v>
      </c>
      <c r="B205" s="18"/>
    </row>
    <row r="206" spans="1:2" x14ac:dyDescent="0.25">
      <c r="A206" s="19" t="s">
        <v>616</v>
      </c>
      <c r="B206" s="20" t="s">
        <v>617</v>
      </c>
    </row>
    <row r="207" spans="1:2" x14ac:dyDescent="0.25">
      <c r="A207" s="19"/>
      <c r="B207" s="18"/>
    </row>
    <row r="208" spans="1:2" x14ac:dyDescent="0.25">
      <c r="A208" s="19"/>
      <c r="B208" s="18"/>
    </row>
    <row r="209" spans="1:2" x14ac:dyDescent="0.25">
      <c r="A209" s="19" t="s">
        <v>618</v>
      </c>
      <c r="B209" s="18"/>
    </row>
    <row r="210" spans="1:2" x14ac:dyDescent="0.25">
      <c r="A210" s="19" t="s">
        <v>619</v>
      </c>
      <c r="B210" s="18"/>
    </row>
    <row r="211" spans="1:2" x14ac:dyDescent="0.25">
      <c r="A211" s="19" t="s">
        <v>620</v>
      </c>
      <c r="B211" s="18"/>
    </row>
    <row r="212" spans="1:2" x14ac:dyDescent="0.25">
      <c r="A212" s="19" t="s">
        <v>621</v>
      </c>
      <c r="B212" s="18"/>
    </row>
    <row r="213" spans="1:2" x14ac:dyDescent="0.25">
      <c r="A213" s="19" t="s">
        <v>622</v>
      </c>
      <c r="B213" s="18"/>
    </row>
    <row r="214" spans="1:2" x14ac:dyDescent="0.25">
      <c r="A214" s="19" t="s">
        <v>623</v>
      </c>
      <c r="B214" s="18"/>
    </row>
    <row r="215" spans="1:2" x14ac:dyDescent="0.25">
      <c r="A215" s="19" t="s">
        <v>624</v>
      </c>
      <c r="B215" s="18"/>
    </row>
    <row r="216" spans="1:2" x14ac:dyDescent="0.25">
      <c r="A216" s="19" t="s">
        <v>625</v>
      </c>
      <c r="B216" s="18"/>
    </row>
    <row r="217" spans="1:2" x14ac:dyDescent="0.25">
      <c r="A217" s="19" t="s">
        <v>626</v>
      </c>
      <c r="B217" s="18"/>
    </row>
    <row r="218" spans="1:2" x14ac:dyDescent="0.25">
      <c r="A218" s="19" t="s">
        <v>627</v>
      </c>
      <c r="B218" s="18"/>
    </row>
    <row r="219" spans="1:2" x14ac:dyDescent="0.25">
      <c r="A219" s="19" t="s">
        <v>628</v>
      </c>
      <c r="B219" s="18"/>
    </row>
    <row r="220" spans="1:2" x14ac:dyDescent="0.25">
      <c r="A220" s="19" t="s">
        <v>629</v>
      </c>
      <c r="B220" s="18"/>
    </row>
    <row r="221" spans="1:2" x14ac:dyDescent="0.25">
      <c r="A221" s="19" t="s">
        <v>630</v>
      </c>
      <c r="B221" s="18"/>
    </row>
    <row r="222" spans="1:2" x14ac:dyDescent="0.25">
      <c r="A222" s="19" t="s">
        <v>631</v>
      </c>
      <c r="B222" s="18"/>
    </row>
    <row r="224" spans="1:2" x14ac:dyDescent="0.25">
      <c r="A224" s="18"/>
      <c r="B224" s="18"/>
    </row>
    <row r="225" spans="1:2" x14ac:dyDescent="0.25">
      <c r="A225" s="22" t="s">
        <v>632</v>
      </c>
      <c r="B225" s="18"/>
    </row>
    <row r="226" spans="1:2" x14ac:dyDescent="0.25">
      <c r="A226" s="21" t="s">
        <v>633</v>
      </c>
      <c r="B226" s="18"/>
    </row>
    <row r="227" spans="1:2" x14ac:dyDescent="0.25">
      <c r="A227" s="23" t="s">
        <v>634</v>
      </c>
      <c r="B227" s="18"/>
    </row>
    <row r="228" spans="1:2" x14ac:dyDescent="0.25">
      <c r="A228" s="23" t="s">
        <v>339</v>
      </c>
      <c r="B228" s="18"/>
    </row>
    <row r="229" spans="1:2" x14ac:dyDescent="0.25">
      <c r="A229" s="23"/>
      <c r="B229" s="18"/>
    </row>
    <row r="230" spans="1:2" x14ac:dyDescent="0.25">
      <c r="A230" s="23"/>
      <c r="B230" s="18"/>
    </row>
    <row r="231" spans="1:2" x14ac:dyDescent="0.25">
      <c r="A231" s="22" t="s">
        <v>635</v>
      </c>
      <c r="B231" s="18"/>
    </row>
    <row r="232" spans="1:2" x14ac:dyDescent="0.25">
      <c r="A232" s="21" t="s">
        <v>636</v>
      </c>
      <c r="B232" s="18"/>
    </row>
    <row r="233" spans="1:2" x14ac:dyDescent="0.25">
      <c r="A233" s="23" t="s">
        <v>339</v>
      </c>
      <c r="B233" s="18"/>
    </row>
    <row r="234" spans="1:2" x14ac:dyDescent="0.25">
      <c r="A234" s="23"/>
      <c r="B234" s="18"/>
    </row>
    <row r="235" spans="1:2" x14ac:dyDescent="0.25">
      <c r="A235" s="23"/>
      <c r="B235" s="18"/>
    </row>
    <row r="237" spans="1:2" x14ac:dyDescent="0.25">
      <c r="A237" s="24" t="s">
        <v>637</v>
      </c>
      <c r="B237" s="18"/>
    </row>
  </sheetData>
  <sheetProtection algorithmName="SHA-512" hashValue="a5cFuNq/2hA7nMnjckSxXgDBnY9ZfZzPK52FeE0rKb0RfzxWLeWtz5zBs37qlzjqN9s1n5Z0WwVUyEhE/MT5Ug==" saltValue="QfH8Qp4/KfYQaBA9XzyhPQ==" spinCount="100000" sheet="1" objects="1" scenarios="1"/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EC1CD-B02E-4E7B-818A-8615309D8B84}">
  <dimension ref="A1:B16"/>
  <sheetViews>
    <sheetView workbookViewId="0">
      <selection activeCell="A14" sqref="A14"/>
    </sheetView>
  </sheetViews>
  <sheetFormatPr defaultRowHeight="15" x14ac:dyDescent="0.25"/>
  <cols>
    <col min="1" max="2" width="92.85546875" customWidth="1"/>
  </cols>
  <sheetData>
    <row r="1" spans="1:2" x14ac:dyDescent="0.25">
      <c r="A1" s="7" t="s">
        <v>638</v>
      </c>
      <c r="B1" s="18"/>
    </row>
    <row r="3" spans="1:2" s="18" customFormat="1" x14ac:dyDescent="0.25">
      <c r="A3" s="18" t="s">
        <v>639</v>
      </c>
    </row>
    <row r="4" spans="1:2" x14ac:dyDescent="0.25">
      <c r="A4" s="18" t="s">
        <v>640</v>
      </c>
      <c r="B4" s="18"/>
    </row>
    <row r="5" spans="1:2" s="18" customFormat="1" x14ac:dyDescent="0.25">
      <c r="A5" s="18" t="s">
        <v>641</v>
      </c>
    </row>
    <row r="6" spans="1:2" x14ac:dyDescent="0.25">
      <c r="A6" s="32" t="s">
        <v>642</v>
      </c>
      <c r="B6" s="18"/>
    </row>
    <row r="7" spans="1:2" s="18" customFormat="1" x14ac:dyDescent="0.25">
      <c r="A7" s="32" t="s">
        <v>643</v>
      </c>
    </row>
    <row r="8" spans="1:2" x14ac:dyDescent="0.25">
      <c r="A8" s="32" t="s">
        <v>644</v>
      </c>
      <c r="B8" s="18"/>
    </row>
    <row r="9" spans="1:2" x14ac:dyDescent="0.25">
      <c r="A9" s="32" t="s">
        <v>645</v>
      </c>
      <c r="B9" s="18" t="s">
        <v>646</v>
      </c>
    </row>
    <row r="10" spans="1:2" x14ac:dyDescent="0.25">
      <c r="A10" s="32" t="s">
        <v>647</v>
      </c>
      <c r="B10" s="18"/>
    </row>
    <row r="11" spans="1:2" x14ac:dyDescent="0.25">
      <c r="A11" s="32" t="s">
        <v>648</v>
      </c>
      <c r="B11" s="18"/>
    </row>
    <row r="12" spans="1:2" x14ac:dyDescent="0.25">
      <c r="A12" s="32" t="s">
        <v>649</v>
      </c>
      <c r="B12" s="18"/>
    </row>
    <row r="13" spans="1:2" x14ac:dyDescent="0.25">
      <c r="A13" s="32" t="s">
        <v>650</v>
      </c>
      <c r="B13" s="18" t="s">
        <v>651</v>
      </c>
    </row>
    <row r="14" spans="1:2" s="18" customFormat="1" x14ac:dyDescent="0.25"/>
    <row r="15" spans="1:2" x14ac:dyDescent="0.25">
      <c r="A15" s="31" t="s">
        <v>652</v>
      </c>
      <c r="B15" s="18"/>
    </row>
    <row r="16" spans="1:2" x14ac:dyDescent="0.25">
      <c r="A16" s="35" t="s">
        <v>653</v>
      </c>
      <c r="B16" s="18" t="s">
        <v>654</v>
      </c>
    </row>
  </sheetData>
  <sheetProtection algorithmName="SHA-512" hashValue="lw0X0d+0fdRZu9zWRBVhf9c3/3joFw8jrFe4trss2w3B4D/iSrKgUj/e/T8tr2S/3pV6NNQXedHp6eN8sXuWtg==" saltValue="IptjJtLLfHx4zRVZRLbhhg==" spinCount="100000" sheet="1" objects="1" scenarios="1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41288-6F89-4249-9EAE-248FE9D9109D}">
  <dimension ref="A1:B11"/>
  <sheetViews>
    <sheetView workbookViewId="0">
      <selection activeCell="A10" sqref="A10"/>
    </sheetView>
  </sheetViews>
  <sheetFormatPr defaultRowHeight="15" x14ac:dyDescent="0.25"/>
  <cols>
    <col min="1" max="1" width="95.5703125" customWidth="1"/>
    <col min="2" max="2" width="83.5703125" customWidth="1"/>
  </cols>
  <sheetData>
    <row r="1" spans="1:2" x14ac:dyDescent="0.25">
      <c r="A1" s="7" t="s">
        <v>655</v>
      </c>
      <c r="B1" s="18"/>
    </row>
    <row r="3" spans="1:2" x14ac:dyDescent="0.25">
      <c r="A3" s="30" t="s">
        <v>656</v>
      </c>
      <c r="B3" s="18" t="s">
        <v>657</v>
      </c>
    </row>
    <row r="4" spans="1:2" x14ac:dyDescent="0.25">
      <c r="A4" s="30" t="s">
        <v>658</v>
      </c>
      <c r="B4" s="18"/>
    </row>
    <row r="5" spans="1:2" x14ac:dyDescent="0.25">
      <c r="A5" s="30" t="s">
        <v>659</v>
      </c>
      <c r="B5" s="18"/>
    </row>
    <row r="6" spans="1:2" x14ac:dyDescent="0.25">
      <c r="A6" s="18" t="s">
        <v>660</v>
      </c>
      <c r="B6" s="18"/>
    </row>
    <row r="8" spans="1:2" x14ac:dyDescent="0.25">
      <c r="A8" s="30" t="s">
        <v>661</v>
      </c>
      <c r="B8" s="18"/>
    </row>
    <row r="9" spans="1:2" x14ac:dyDescent="0.25">
      <c r="A9" s="30" t="s">
        <v>658</v>
      </c>
      <c r="B9" s="18"/>
    </row>
    <row r="10" spans="1:2" x14ac:dyDescent="0.25">
      <c r="A10" s="30" t="s">
        <v>659</v>
      </c>
      <c r="B10" s="18"/>
    </row>
    <row r="11" spans="1:2" x14ac:dyDescent="0.25">
      <c r="A11" s="18" t="s">
        <v>660</v>
      </c>
      <c r="B11" s="18"/>
    </row>
  </sheetData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193F2-F550-4039-A789-45939B6C4647}">
  <dimension ref="A1:A18"/>
  <sheetViews>
    <sheetView workbookViewId="0">
      <selection activeCell="A10" sqref="A10"/>
    </sheetView>
  </sheetViews>
  <sheetFormatPr defaultRowHeight="15" x14ac:dyDescent="0.25"/>
  <cols>
    <col min="1" max="1" width="155.28515625" customWidth="1"/>
  </cols>
  <sheetData>
    <row r="1" spans="1:1" ht="23.25" x14ac:dyDescent="0.25">
      <c r="A1" s="47" t="s">
        <v>662</v>
      </c>
    </row>
    <row r="2" spans="1:1" ht="23.25" x14ac:dyDescent="0.25">
      <c r="A2" s="47"/>
    </row>
    <row r="3" spans="1:1" ht="23.25" x14ac:dyDescent="0.25">
      <c r="A3" s="48" t="s">
        <v>663</v>
      </c>
    </row>
    <row r="4" spans="1:1" ht="15.75" x14ac:dyDescent="0.25">
      <c r="A4" s="49"/>
    </row>
    <row r="5" spans="1:1" ht="15.75" x14ac:dyDescent="0.25">
      <c r="A5" s="49" t="s">
        <v>664</v>
      </c>
    </row>
    <row r="6" spans="1:1" x14ac:dyDescent="0.25">
      <c r="A6" s="50"/>
    </row>
    <row r="7" spans="1:1" ht="30" x14ac:dyDescent="0.25">
      <c r="A7" s="50" t="s">
        <v>665</v>
      </c>
    </row>
    <row r="8" spans="1:1" x14ac:dyDescent="0.25">
      <c r="A8" s="51" t="s">
        <v>666</v>
      </c>
    </row>
    <row r="9" spans="1:1" x14ac:dyDescent="0.25">
      <c r="A9" s="51" t="s">
        <v>667</v>
      </c>
    </row>
    <row r="10" spans="1:1" x14ac:dyDescent="0.25">
      <c r="A10" s="50"/>
    </row>
    <row r="12" spans="1:1" ht="15.75" x14ac:dyDescent="0.25">
      <c r="A12" s="52" t="s">
        <v>668</v>
      </c>
    </row>
    <row r="14" spans="1:1" x14ac:dyDescent="0.25">
      <c r="A14" s="53"/>
    </row>
    <row r="16" spans="1:1" ht="15.75" x14ac:dyDescent="0.25">
      <c r="A16" s="49" t="s">
        <v>669</v>
      </c>
    </row>
    <row r="17" spans="1:1" x14ac:dyDescent="0.25">
      <c r="A17" s="50"/>
    </row>
    <row r="18" spans="1:1" x14ac:dyDescent="0.25">
      <c r="A18" s="50" t="s">
        <v>670</v>
      </c>
    </row>
  </sheetData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D6300-6E24-4532-9574-BA84F55ED25E}">
  <dimension ref="A1:C26"/>
  <sheetViews>
    <sheetView workbookViewId="0">
      <selection activeCell="A23" sqref="A23"/>
    </sheetView>
  </sheetViews>
  <sheetFormatPr defaultRowHeight="15" x14ac:dyDescent="0.25"/>
  <cols>
    <col min="1" max="1" width="85.7109375" customWidth="1"/>
    <col min="2" max="2" width="12.85546875" customWidth="1"/>
    <col min="3" max="3" width="88.42578125" customWidth="1"/>
  </cols>
  <sheetData>
    <row r="1" spans="1:2" ht="46.5" x14ac:dyDescent="0.25">
      <c r="A1" s="47" t="s">
        <v>671</v>
      </c>
      <c r="B1" s="18" t="s">
        <v>672</v>
      </c>
    </row>
    <row r="2" spans="1:2" ht="23.25" x14ac:dyDescent="0.25">
      <c r="A2" s="54"/>
      <c r="B2" s="18"/>
    </row>
    <row r="3" spans="1:2" ht="15.75" x14ac:dyDescent="0.25">
      <c r="A3" s="18" t="s">
        <v>673</v>
      </c>
      <c r="B3" s="18">
        <v>0</v>
      </c>
    </row>
    <row r="4" spans="1:2" ht="15.75" x14ac:dyDescent="0.25">
      <c r="A4" s="18" t="s">
        <v>674</v>
      </c>
      <c r="B4" s="18">
        <v>1</v>
      </c>
    </row>
    <row r="5" spans="1:2" ht="15.75" x14ac:dyDescent="0.25">
      <c r="A5" s="18" t="s">
        <v>675</v>
      </c>
      <c r="B5" s="18">
        <v>2</v>
      </c>
    </row>
    <row r="6" spans="1:2" ht="15.75" x14ac:dyDescent="0.25">
      <c r="A6" s="18" t="s">
        <v>676</v>
      </c>
      <c r="B6" s="18">
        <v>3</v>
      </c>
    </row>
    <row r="7" spans="1:2" ht="15.75" x14ac:dyDescent="0.25">
      <c r="A7" s="18" t="s">
        <v>677</v>
      </c>
      <c r="B7" s="18">
        <v>4</v>
      </c>
    </row>
    <row r="8" spans="1:2" ht="15.75" x14ac:dyDescent="0.25">
      <c r="A8" s="18" t="s">
        <v>678</v>
      </c>
      <c r="B8" s="18">
        <v>5</v>
      </c>
    </row>
    <row r="9" spans="1:2" ht="23.25" x14ac:dyDescent="0.25">
      <c r="A9" s="54"/>
      <c r="B9" s="18"/>
    </row>
    <row r="10" spans="1:2" ht="46.5" x14ac:dyDescent="0.25">
      <c r="A10" s="55" t="s">
        <v>679</v>
      </c>
      <c r="B10" s="18"/>
    </row>
    <row r="11" spans="1:2" ht="23.25" x14ac:dyDescent="0.25">
      <c r="A11" s="54"/>
      <c r="B11" s="18"/>
    </row>
    <row r="12" spans="1:2" x14ac:dyDescent="0.25">
      <c r="A12" s="18" t="s">
        <v>680</v>
      </c>
      <c r="B12" s="18"/>
    </row>
    <row r="13" spans="1:2" x14ac:dyDescent="0.25">
      <c r="A13" s="18" t="s">
        <v>681</v>
      </c>
      <c r="B13" s="18"/>
    </row>
    <row r="14" spans="1:2" x14ac:dyDescent="0.25">
      <c r="A14" s="18" t="s">
        <v>682</v>
      </c>
      <c r="B14" s="18"/>
    </row>
    <row r="15" spans="1:2" x14ac:dyDescent="0.25">
      <c r="A15" s="18" t="s">
        <v>683</v>
      </c>
      <c r="B15" s="18"/>
    </row>
    <row r="16" spans="1:2" x14ac:dyDescent="0.25">
      <c r="A16" s="18" t="s">
        <v>684</v>
      </c>
      <c r="B16" s="18"/>
    </row>
    <row r="17" spans="1:3" x14ac:dyDescent="0.25">
      <c r="A17" s="18" t="s">
        <v>685</v>
      </c>
      <c r="B17" s="18"/>
      <c r="C17" s="18"/>
    </row>
    <row r="18" spans="1:3" x14ac:dyDescent="0.25">
      <c r="A18" s="18" t="s">
        <v>686</v>
      </c>
      <c r="B18" s="18"/>
      <c r="C18" s="18"/>
    </row>
    <row r="19" spans="1:3" x14ac:dyDescent="0.25">
      <c r="A19" s="18" t="s">
        <v>687</v>
      </c>
      <c r="B19" s="18"/>
      <c r="C19" s="18"/>
    </row>
    <row r="20" spans="1:3" x14ac:dyDescent="0.25">
      <c r="A20" s="18" t="s">
        <v>688</v>
      </c>
      <c r="B20" s="18"/>
      <c r="C20" s="18"/>
    </row>
    <row r="21" spans="1:3" ht="23.25" x14ac:dyDescent="0.25">
      <c r="A21" s="54"/>
      <c r="B21" s="18"/>
      <c r="C21" s="18"/>
    </row>
    <row r="22" spans="1:3" ht="46.5" x14ac:dyDescent="0.25">
      <c r="A22" s="55" t="s">
        <v>689</v>
      </c>
      <c r="B22" s="18"/>
      <c r="C22" s="18"/>
    </row>
    <row r="23" spans="1:3" ht="23.25" x14ac:dyDescent="0.25">
      <c r="A23" s="54"/>
      <c r="B23" s="18"/>
      <c r="C23" s="18"/>
    </row>
    <row r="24" spans="1:3" x14ac:dyDescent="0.25">
      <c r="A24" s="18" t="s">
        <v>690</v>
      </c>
      <c r="B24" s="18"/>
      <c r="C24" s="18" t="s">
        <v>691</v>
      </c>
    </row>
    <row r="25" spans="1:3" x14ac:dyDescent="0.25">
      <c r="A25" s="18" t="s">
        <v>692</v>
      </c>
      <c r="B25" s="18"/>
      <c r="C25" s="18" t="s">
        <v>693</v>
      </c>
    </row>
    <row r="26" spans="1:3" x14ac:dyDescent="0.25">
      <c r="A26" s="18" t="s">
        <v>694</v>
      </c>
      <c r="B26" s="18"/>
      <c r="C26" s="18" t="s">
        <v>695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?mso-contentType ?>
<SharedContentType xmlns="Microsoft.SharePoint.Taxonomy.ContentTypeSync" SourceId="03b784c7-ee61-4ee7-89a9-d87ec2bf0954" ContentTypeId="0x010100FBB1BDE89FB27C449A0E29AF421E312401" PreviousValue="false"/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General Document" ma:contentTypeID="0x010100FBB1BDE89FB27C449A0E29AF421E31240100A3A23CD057A6394CAE2EFB35865404C1" ma:contentTypeVersion="39" ma:contentTypeDescription="Create a new document." ma:contentTypeScope="" ma:versionID="06bde6cebcea339822c41fb7e28769c5">
  <xsd:schema xmlns:xsd="http://www.w3.org/2001/XMLSchema" xmlns:xs="http://www.w3.org/2001/XMLSchema" xmlns:p="http://schemas.microsoft.com/office/2006/metadata/properties" xmlns:ns1="http://schemas.microsoft.com/sharepoint/v3" xmlns:ns3="fae423db-7aea-40a7-8e81-2a365c617d65" xmlns:ns4="e6bb6fa4-9c23-4df5-9c72-0315fa8fef6d" xmlns:ns5="b9f1db13-37d0-4e45-944c-b878e8992007" xmlns:ns6="http://schemas.microsoft.com/sharepoint/v4" xmlns:ns7="841c6410-059f-43fe-8a18-7aaa0fd81573" xmlns:ns8="a1d2a642-8c0e-4be2-8d73-f78f3a48523f" targetNamespace="http://schemas.microsoft.com/office/2006/metadata/properties" ma:root="true" ma:fieldsID="17dbd41ff8e3e57ce48d5dac59615fdb" ns1:_="" ns3:_="" ns4:_="" ns5:_="" ns6:_="" ns7:_="" ns8:_="">
    <xsd:import namespace="http://schemas.microsoft.com/sharepoint/v3"/>
    <xsd:import namespace="fae423db-7aea-40a7-8e81-2a365c617d65"/>
    <xsd:import namespace="e6bb6fa4-9c23-4df5-9c72-0315fa8fef6d"/>
    <xsd:import namespace="b9f1db13-37d0-4e45-944c-b878e8992007"/>
    <xsd:import namespace="http://schemas.microsoft.com/sharepoint/v4"/>
    <xsd:import namespace="841c6410-059f-43fe-8a18-7aaa0fd81573"/>
    <xsd:import namespace="a1d2a642-8c0e-4be2-8d73-f78f3a48523f"/>
    <xsd:element name="properties">
      <xsd:complexType>
        <xsd:sequence>
          <xsd:element name="documentManagement">
            <xsd:complexType>
              <xsd:all>
                <xsd:element ref="ns4:IP_x0020_Classification"/>
                <xsd:element ref="ns4:Preservation_x0020_Order_x0020_Numbers" minOccurs="0"/>
                <xsd:element ref="ns5:Retention_x0020_Start_x0020_Date" minOccurs="0"/>
                <xsd:element ref="ns5:Retain_x0020_Until_x0020_Date" minOccurs="0"/>
                <xsd:element ref="ns3:TaxCatchAllLabel" minOccurs="0"/>
                <xsd:element ref="ns3:p01231d88c934046812dbe39cf15431a" minOccurs="0"/>
                <xsd:element ref="ns3:p01231d88c934046812dbe39cf15430a" minOccurs="0"/>
                <xsd:element ref="ns3:TaxCatchAll" minOccurs="0"/>
                <xsd:element ref="ns1:ExtractedContributor" minOccurs="0"/>
                <xsd:element ref="ns5:Inactive_x0020_Record" minOccurs="0"/>
                <xsd:element ref="ns5:f1f5acf37a9e4df8843432af9802a72a" minOccurs="0"/>
                <xsd:element ref="ns6:IconOverlay" minOccurs="0"/>
                <xsd:element ref="ns7:MediaServiceMetadata" minOccurs="0"/>
                <xsd:element ref="ns7:MediaServiceFastMetadata" minOccurs="0"/>
                <xsd:element ref="ns7:DocumentType" minOccurs="0"/>
                <xsd:element ref="ns8:SharedWithUsers" minOccurs="0"/>
                <xsd:element ref="ns8:SharedWithDetails" minOccurs="0"/>
                <xsd:element ref="ns7:Archive" minOccurs="0"/>
                <xsd:element ref="ns7:Associated_x0020_Project" minOccurs="0"/>
                <xsd:element ref="ns7:Business_x0020_Unit" minOccurs="0"/>
                <xsd:element ref="ns7:Core_x0020_Documentation" minOccurs="0"/>
                <xsd:element ref="ns7:Location_x0020_Type" minOccurs="0"/>
                <xsd:element ref="ns7:Region" minOccurs="0"/>
                <xsd:element ref="ns7:Technology_x0020_Focus" minOccurs="0"/>
                <xsd:element ref="ns7:Site" minOccurs="0"/>
                <xsd:element ref="ns7:Document_x0020_Categor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ExtractedContributor" ma:index="19" nillable="true" ma:displayName="Extracted Contributor" ma:description="Extracted Contributor" ma:hidden="true" ma:internalName="ExtractedContributor" ma:readOnly="false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ae423db-7aea-40a7-8e81-2a365c617d65" elementFormDefault="qualified">
    <xsd:import namespace="http://schemas.microsoft.com/office/2006/documentManagement/types"/>
    <xsd:import namespace="http://schemas.microsoft.com/office/infopath/2007/PartnerControls"/>
    <xsd:element name="TaxCatchAllLabel" ma:index="9" nillable="true" ma:displayName="Taxonomy Catch All Column1" ma:hidden="true" ma:list="{d928c7d2-f318-4347-968c-e44581dc8122}" ma:internalName="TaxCatchAllLabel" ma:readOnly="true" ma:showField="CatchAllDataLabel" ma:web="2b489392-c913-418a-ae1e-77cf49d648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p01231d88c934046812dbe39cf15431a" ma:index="13" ma:taxonomy="true" ma:internalName="p01231d88c934046812dbe39cf15431a" ma:taxonomyFieldName="Retention_x0020_Category" ma:displayName="Retention Category" ma:readOnly="false" ma:default="6;#Reference Document|b32bd135-7ebe-49d0-bfcc-ca766c5e9989" ma:fieldId="{fd1ef4d8-3e07-46a2-b2b4-c9e81ccc81f4}" ma:sspId="03b784c7-ee61-4ee7-89a9-d87ec2bf0954" ma:termSetId="fda4940a-b680-4317-929f-5e2e0638e24f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p01231d88c934046812dbe39cf15430a" ma:index="16" ma:taxonomy="true" ma:internalName="p01231d88c934046812dbe39cf15430a" ma:taxonomyFieldName="Chevron_x0020_Organization" ma:displayName="Owner Organization" ma:readOnly="false" ma:default="7;#ITSD|bc7be532-e7a6-4882-bf05-1bff6add6fcb" ma:fieldId="{901231d8-8c93-4046-812d-be39cf15430a}" ma:sspId="03b784c7-ee61-4ee7-89a9-d87ec2bf0954" ma:termSetId="4bf10e93-cbf8-470b-bd43-152d61f7423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axCatchAll" ma:index="17" nillable="true" ma:displayName="Taxonomy Catch All Column" ma:hidden="true" ma:list="{d928c7d2-f318-4347-968c-e44581dc8122}" ma:internalName="TaxCatchAll" ma:showField="CatchAllData" ma:web="2b489392-c913-418a-ae1e-77cf49d648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bb6fa4-9c23-4df5-9c72-0315fa8fef6d" elementFormDefault="qualified">
    <xsd:import namespace="http://schemas.microsoft.com/office/2006/documentManagement/types"/>
    <xsd:import namespace="http://schemas.microsoft.com/office/infopath/2007/PartnerControls"/>
    <xsd:element name="IP_x0020_Classification" ma:index="4" ma:displayName="IP Classification" ma:default="Company Confidential" ma:description="Sensitivity of the information" ma:format="Dropdown" ma:internalName="IP_x0020_Classification" ma:readOnly="false">
      <xsd:simpleType>
        <xsd:restriction base="dms:Choice">
          <xsd:enumeration value="Public"/>
          <xsd:enumeration value="Company Confidential"/>
          <xsd:enumeration value="Confidential Restricted"/>
          <xsd:enumeration value="Classified"/>
        </xsd:restriction>
      </xsd:simpleType>
    </xsd:element>
    <xsd:element name="Preservation_x0020_Order_x0020_Numbers" ma:index="5" nillable="true" ma:displayName="Preservation Order Numbers" ma:description="Preservation Order Numbers, when issued by Legal, require that this item MUST NOT be deleted. Separate multiple preservation order numbers with commas." ma:hidden="true" ma:internalName="Preservation_x0020_Order_x0020_Numbers" ma:readOnly="false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9f1db13-37d0-4e45-944c-b878e8992007" elementFormDefault="qualified">
    <xsd:import namespace="http://schemas.microsoft.com/office/2006/documentManagement/types"/>
    <xsd:import namespace="http://schemas.microsoft.com/office/infopath/2007/PartnerControls"/>
    <xsd:element name="Retention_x0020_Start_x0020_Date" ma:index="7" nillable="true" ma:displayName="Retention Start Date" ma:description="The start date for retention period calculation." ma:format="DateOnly" ma:internalName="Retention_x0020_Start_x0020_Date">
      <xsd:simpleType>
        <xsd:restriction base="dms:DateTime"/>
      </xsd:simpleType>
    </xsd:element>
    <xsd:element name="Retain_x0020_Until_x0020_Date" ma:index="8" nillable="true" ma:displayName="Retain Until Date" ma:description="The start date for retention period calculation." ma:format="DateOnly" ma:internalName="Retain_x0020_Until_x0020_Date">
      <xsd:simpleType>
        <xsd:restriction base="dms:DateTime"/>
      </xsd:simpleType>
    </xsd:element>
    <xsd:element name="Inactive_x0020_Record" ma:index="20" nillable="true" ma:displayName="Inactive Record" ma:description="Used to designate records as inactive." ma:internalName="Inactive_x0020_Record">
      <xsd:simpleType>
        <xsd:restriction base="dms:Boolean"/>
      </xsd:simpleType>
    </xsd:element>
    <xsd:element name="f1f5acf37a9e4df8843432af9802a72a" ma:index="21" nillable="true" ma:taxonomy="true" ma:internalName="f1f5acf37a9e4df8843432af9802a72a" ma:taxonomyFieldName="Chevron_x0020_Discipline" ma:displayName="Chevron Discipline" ma:readOnly="false" ma:fieldId="{f1f5acf3-7a9e-4df8-8434-32af9802a72a}" ma:sspId="03b784c7-ee61-4ee7-89a9-d87ec2bf0954" ma:termSetId="84286160-6c66-4956-a819-71b834cd237e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3" nillable="true" ma:displayName="IconOverlay" ma:hidden="true" ma:internalName="IconOverlay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41c6410-059f-43fe-8a18-7aaa0fd8157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24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25" nillable="true" ma:displayName="MediaServiceFastMetadata" ma:hidden="true" ma:internalName="MediaServiceFastMetadata" ma:readOnly="true">
      <xsd:simpleType>
        <xsd:restriction base="dms:Note"/>
      </xsd:simpleType>
    </xsd:element>
    <xsd:element name="DocumentType" ma:index="26" nillable="true" ma:displayName="Document Type" ma:format="Dropdown" ma:internalName="DocumentType">
      <xsd:simpleType>
        <xsd:restriction base="dms:Choice">
          <xsd:enumeration value="Checklist"/>
          <xsd:enumeration value="Diagram"/>
          <xsd:enumeration value="Network Critical Path"/>
          <xsd:enumeration value="Patching"/>
          <xsd:enumeration value="Procedures"/>
          <xsd:enumeration value="References"/>
          <xsd:enumeration value="Standards"/>
          <xsd:enumeration value="Templates"/>
          <xsd:enumeration value="001 Process"/>
          <xsd:enumeration value="002 Common-Admin-General Procedures"/>
          <xsd:enumeration value="003 System Procedures"/>
          <xsd:enumeration value="004 Network Management Procedures"/>
          <xsd:enumeration value="005 Network Support Procedures"/>
          <xsd:enumeration value="006 Technical Knowledgebase"/>
          <xsd:enumeration value="007 User Guide"/>
          <xsd:enumeration value="010 Install Procedures"/>
          <xsd:enumeration value="011 Upgrade/Change Procedures"/>
          <xsd:enumeration value="012 Decommission Procedures"/>
          <xsd:enumeration value="013 Testing Procedures"/>
          <xsd:enumeration value="015 Maintenance Procedures"/>
          <xsd:enumeration value="016 Evergreen Procedures"/>
          <xsd:enumeration value="017 Compliance Procedures"/>
          <xsd:enumeration value="030 Device Standards"/>
          <xsd:enumeration value="031 Application Standards"/>
          <xsd:enumeration value="032 Maintenance Standards"/>
          <xsd:enumeration value="033 System Standards"/>
          <xsd:enumeration value="034 Security Standards"/>
          <xsd:enumeration value="035 Common-Admin-General Standards"/>
          <xsd:enumeration value="040 Supporting Information Text"/>
          <xsd:enumeration value="041 Supporting Information Diagrams"/>
          <xsd:enumeration value="042 Roles and Responsibilities"/>
          <xsd:enumeration value="043 Schedule"/>
          <xsd:enumeration value="100 Inventory"/>
          <xsd:enumeration value="101 SmartNet Total Care"/>
          <xsd:enumeration value="102 CompuCom"/>
          <xsd:enumeration value="103 Algosec"/>
          <xsd:enumeration value="104 Splunk"/>
          <xsd:enumeration value="105 SART"/>
          <xsd:enumeration value="106 ACS (TACACS)"/>
          <xsd:enumeration value="107 CAPC"/>
          <xsd:enumeration value="107 Performance Monitoring Suite"/>
          <xsd:enumeration value="108 EMC NCM (Voyence)"/>
          <xsd:enumeration value="109 JunoSpace"/>
          <xsd:enumeration value="110 NMS IPAM"/>
          <xsd:enumeration value="111 Infoblox"/>
          <xsd:enumeration value="113 Opengear / Lighthouse"/>
          <xsd:enumeration value="114 Looking Glass"/>
          <xsd:enumeration value="115 Cariden"/>
          <xsd:enumeration value="116 Samplicator"/>
          <xsd:enumeration value="117 VShell"/>
          <xsd:enumeration value="118 Solarwinds"/>
          <xsd:enumeration value="119 Spectrum"/>
          <xsd:enumeration value="120 Ixia"/>
          <xsd:enumeration value="121 Prime"/>
          <xsd:enumeration value="122 NetVoyant"/>
          <xsd:enumeration value="123 DCNM"/>
          <xsd:enumeration value="124 Nervecenter"/>
          <xsd:enumeration value="125 NAIM"/>
          <xsd:enumeration value="126 NST Address"/>
          <xsd:enumeration value="127 Bigswitch Controller"/>
          <xsd:enumeration value="200 Core Processes"/>
          <xsd:enumeration value="201 Core Standards"/>
          <xsd:enumeration value="202 Core Installation Procedures"/>
          <xsd:enumeration value="203 Core Maintenance Procedures"/>
          <xsd:enumeration value="204 Core Commissioning Procedures"/>
          <xsd:enumeration value="205 Core Decommissioning Procedures"/>
        </xsd:restriction>
      </xsd:simpleType>
    </xsd:element>
    <xsd:element name="Archive" ma:index="29" nillable="true" ma:displayName="Archive" ma:default="0" ma:internalName="Archive">
      <xsd:simpleType>
        <xsd:restriction base="dms:Boolean"/>
      </xsd:simpleType>
    </xsd:element>
    <xsd:element name="Associated_x0020_Project" ma:index="30" nillable="true" ma:displayName="Associated Project" ma:format="Dropdown" ma:internalName="Associated_x0020_Project">
      <xsd:simpleType>
        <xsd:union memberTypes="dms:Text">
          <xsd:simpleType>
            <xsd:restriction base="dms:Choice">
              <xsd:enumeration value="Core"/>
              <xsd:enumeration value="RWAN"/>
              <xsd:enumeration value="APDC"/>
              <xsd:enumeration value="DC2DC"/>
              <xsd:enumeration value="IP Trunking"/>
              <xsd:enumeration value="IPV6"/>
              <xsd:enumeration value="M2M"/>
              <xsd:enumeration value="QoS"/>
              <xsd:enumeration value="Extranet Redesign"/>
              <xsd:enumeration value="GNOSR"/>
              <xsd:enumeration value="Enhanced Network Transport"/>
              <xsd:enumeration value="Data Center Optimization"/>
              <xsd:enumeration value="Cisco OS Upgrade"/>
              <xsd:enumeration value="UAS"/>
            </xsd:restriction>
          </xsd:simpleType>
        </xsd:union>
      </xsd:simpleType>
    </xsd:element>
    <xsd:element name="Business_x0020_Unit" ma:index="31" nillable="true" ma:displayName="Business Unit" ma:format="Dropdown" ma:internalName="Business_x0020_Unit">
      <xsd:simpleType>
        <xsd:union memberTypes="dms:Text">
          <xsd:simpleType>
            <xsd:restriction base="dms:Choice">
              <xsd:enumeration value="ABU"/>
              <xsd:enumeration value="AMBU"/>
              <xsd:enumeration value="Americas Products"/>
              <xsd:enumeration value="ASBU"/>
              <xsd:enumeration value="Cape Town Refinery"/>
              <xsd:enumeration value="CBU"/>
              <xsd:enumeration value="CUK"/>
              <xsd:enumeration value="DWEP"/>
              <xsd:enumeration value="ETC"/>
              <xsd:enumeration value="GOM"/>
              <xsd:enumeration value="IBU"/>
              <xsd:enumeration value="ITC"/>
              <xsd:enumeration value="LABU"/>
              <xsd:enumeration value="Lubricants"/>
              <xsd:enumeration value="MCBU"/>
              <xsd:enumeration value="NMA"/>
              <xsd:enumeration value="PZ"/>
              <xsd:enumeration value="SASBU"/>
              <xsd:enumeration value="SJVBU"/>
              <xsd:enumeration value="TCO"/>
            </xsd:restriction>
          </xsd:simpleType>
        </xsd:union>
      </xsd:simpleType>
    </xsd:element>
    <xsd:element name="Core_x0020_Documentation" ma:index="32" nillable="true" ma:displayName="Core Documentation" ma:default="0" ma:internalName="Core_x0020_Documentation">
      <xsd:simpleType>
        <xsd:restriction base="dms:Boolean"/>
      </xsd:simpleType>
    </xsd:element>
    <xsd:element name="Location_x0020_Type" ma:index="33" nillable="true" ma:displayName="Location Type" ma:format="Dropdown" ma:internalName="Location_x0020_Type">
      <xsd:simpleType>
        <xsd:restriction base="dms:Choice">
          <xsd:enumeration value="All Sites"/>
          <xsd:enumeration value="B-Hub"/>
          <xsd:enumeration value="C-Hub"/>
          <xsd:enumeration value="C-hub – Extranet"/>
          <xsd:enumeration value="D-Hub"/>
          <xsd:enumeration value="D-Hub – Extranet"/>
          <xsd:enumeration value="Remote Site"/>
          <xsd:enumeration value="RWAN"/>
          <xsd:enumeration value="N/A"/>
        </xsd:restriction>
      </xsd:simpleType>
    </xsd:element>
    <xsd:element name="Region" ma:index="34" nillable="true" ma:displayName="Region" ma:format="Dropdown" ma:internalName="Region">
      <xsd:simpleType>
        <xsd:restriction base="dms:Choice">
          <xsd:enumeration value="Africa"/>
          <xsd:enumeration value="Asia"/>
          <xsd:enumeration value="Australia"/>
          <xsd:enumeration value="Europe"/>
          <xsd:enumeration value="North America"/>
          <xsd:enumeration value="South America"/>
          <xsd:enumeration value="Central America"/>
        </xsd:restriction>
      </xsd:simpleType>
    </xsd:element>
    <xsd:element name="Technology_x0020_Focus" ma:index="35" nillable="true" ma:displayName="Technology Focus" ma:format="Dropdown" ma:internalName="Technology_x0020_Focus">
      <xsd:simpleType>
        <xsd:restriction base="dms:Choice">
          <xsd:enumeration value="ALL - NA"/>
          <xsd:enumeration value="ALL - Applications"/>
          <xsd:enumeration value="Acceleration"/>
          <xsd:enumeration value="Cabling"/>
          <xsd:enumeration value="Data"/>
          <xsd:enumeration value="DDOS"/>
          <xsd:enumeration value="FCC"/>
          <xsd:enumeration value="Local Area Network"/>
          <xsd:enumeration value="Local Area Network - WiFi"/>
          <xsd:enumeration value="Management &amp; Monitoring Tools"/>
          <xsd:enumeration value="Multicast"/>
          <xsd:enumeration value="Multi-Disciplinary"/>
          <xsd:enumeration value="Network Hardware/Devices"/>
          <xsd:enumeration value="Network Security"/>
          <xsd:enumeration value="Out of Band Management"/>
          <xsd:enumeration value="PCN"/>
          <xsd:enumeration value="PDN"/>
          <xsd:enumeration value="RF"/>
          <xsd:enumeration value="Router/Switches"/>
          <xsd:enumeration value="Security"/>
          <xsd:enumeration value="Steelhead Appliance/CMC"/>
          <xsd:enumeration value="True – 3rd party"/>
          <xsd:enumeration value="Voice - Telephony"/>
          <xsd:enumeration value="Wide Area Network"/>
          <xsd:enumeration value="Wireless"/>
        </xsd:restriction>
      </xsd:simpleType>
    </xsd:element>
    <xsd:element name="Site" ma:index="36" nillable="true" ma:displayName="Site" ma:format="Dropdown" ma:indexed="true" ma:internalName="Site">
      <xsd:simpleType>
        <xsd:restriction base="dms:Choice">
          <xsd:enumeration value="AA202"/>
          <xsd:enumeration value="ABEHRU"/>
          <xsd:enumeration value="ALM"/>
          <xsd:enumeration value="AMSQX3"/>
          <xsd:enumeration value="ANC102"/>
          <xsd:enumeration value="AND707"/>
          <xsd:enumeration value="ANKATY"/>
          <xsd:enumeration value="ARC"/>
          <xsd:enumeration value="AST"/>
          <xsd:enumeration value="ASTU19"/>
          <xsd:enumeration value="ATL55"/>
          <xsd:enumeration value="ATY"/>
          <xsd:enumeration value="AUS100"/>
          <xsd:enumeration value="AZT332"/>
          <xsd:enumeration value="BCH"/>
          <xsd:enumeration value="BEICC"/>
          <xsd:enumeration value="BEN137"/>
          <xsd:enumeration value="BER2"/>
          <xsd:enumeration value="BETHTX"/>
          <xsd:enumeration value="BHHQ"/>
          <xsd:enumeration value="BHUIN"/>
          <xsd:enumeration value="BIR240"/>
          <xsd:enumeration value="BK9525"/>
          <xsd:enumeration value="BKKHQ"/>
          <xsd:enumeration value="BO1930"/>
          <xsd:enumeration value="BOB"/>
          <xsd:enumeration value="BOC"/>
          <xsd:enumeration value="BOG"/>
          <xsd:enumeration value="BOI201"/>
          <xsd:enumeration value="BOM"/>
          <xsd:enumeration value="BRATX"/>
          <xsd:enumeration value="BRE221"/>
          <xsd:enumeration value="BRECA"/>
          <xsd:enumeration value="BRP"/>
          <xsd:enumeration value="BRU165"/>
          <xsd:enumeration value="BSP"/>
          <xsd:enumeration value="BU4180"/>
          <xsd:enumeration value="BUCNM"/>
          <xsd:enumeration value="BUE"/>
          <xsd:enumeration value="BUE355"/>
          <xsd:enumeration value="BUEAR"/>
          <xsd:enumeration value="BURBC"/>
          <xsd:enumeration value="BWI"/>
          <xsd:enumeration value="BZRJO"/>
          <xsd:enumeration value="CAL"/>
          <xsd:enumeration value="CAN3"/>
          <xsd:enumeration value="CAPEHO"/>
          <xsd:enumeration value="CARVE"/>
          <xsd:enumeration value="CAY"/>
          <xsd:enumeration value="CC2440"/>
          <xsd:enumeration value="CDBCHQ"/>
          <xsd:enumeration value="CDBNAD"/>
          <xsd:enumeration value="CG6750"/>
          <xsd:enumeration value="CHASC"/>
          <xsd:enumeration value="CHVPK"/>
          <xsd:enumeration value="CHVPKA"/>
          <xsd:enumeration value="CHVPKF"/>
          <xsd:enumeration value="CHVPKH"/>
          <xsd:enumeration value="CNBJ"/>
          <xsd:enumeration value="CNCD"/>
          <xsd:enumeration value="CNG"/>
          <xsd:enumeration value="CNGZ"/>
          <xsd:enumeration value="CNM"/>
          <xsd:enumeration value="CNSZ61"/>
          <xsd:enumeration value="CNTJ"/>
          <xsd:enumeration value="COAHC7"/>
          <xsd:enumeration value="COBTX"/>
          <xsd:enumeration value="CODEMM"/>
          <xsd:enumeration value="COLMS"/>
          <xsd:enumeration value="CON"/>
          <xsd:enumeration value="COV100"/>
          <xsd:enumeration value="COV109"/>
          <xsd:enumeration value="COV111"/>
          <xsd:enumeration value="COV114"/>
          <xsd:enumeration value="COV205"/>
          <xsd:enumeration value="CR3051"/>
          <xsd:enumeration value="CRA329"/>
          <xsd:enumeration value="CTX"/>
          <xsd:enumeration value="CYBGAT"/>
          <xsd:enumeration value="DAL717"/>
          <xsd:enumeration value="DALQX3"/>
          <xsd:enumeration value="DEB598"/>
          <xsd:enumeration value="DHAK94"/>
          <xsd:enumeration value="DOB"/>
          <xsd:enumeration value="DOL797"/>
          <xsd:enumeration value="DOR"/>
          <xsd:enumeration value="DSME"/>
          <xsd:enumeration value="DUB319"/>
          <xsd:enumeration value="EDT"/>
          <xsd:enumeration value="EGCB"/>
          <xsd:enumeration value="ELE"/>
          <xsd:enumeration value="EMP"/>
          <xsd:enumeration value="ERAINK"/>
          <xsd:enumeration value="ERV423"/>
          <xsd:enumeration value="ESE"/>
          <xsd:enumeration value="ESE3"/>
          <xsd:enumeration value="EUN1"/>
          <xsd:enumeration value="EUR"/>
          <xsd:enumeration value="EVA1"/>
          <xsd:enumeration value="EVA313"/>
          <xsd:enumeration value="F06060"/>
          <xsd:enumeration value="F06065"/>
          <xsd:enumeration value="F06091"/>
          <xsd:enumeration value="F06122"/>
          <xsd:enumeration value="F06277"/>
          <xsd:enumeration value="F06286"/>
          <xsd:enumeration value="F06296"/>
          <xsd:enumeration value="F06305"/>
          <xsd:enumeration value="F06310"/>
          <xsd:enumeration value="F06607"/>
          <xsd:enumeration value="F07058"/>
          <xsd:enumeration value="F07172"/>
          <xsd:enumeration value="F07218"/>
          <xsd:enumeration value="F07245"/>
          <xsd:enumeration value="F07538"/>
          <xsd:enumeration value="F07615"/>
          <xsd:enumeration value="F07621"/>
          <xsd:enumeration value="F07622"/>
          <xsd:enumeration value="F07878"/>
          <xsd:enumeration value="F07925"/>
          <xsd:enumeration value="F07956"/>
          <xsd:enumeration value="F08005"/>
          <xsd:enumeration value="F08014"/>
          <xsd:enumeration value="F08054"/>
          <xsd:enumeration value="F08660"/>
          <xsd:enumeration value="F08675"/>
          <xsd:enumeration value="F08745"/>
          <xsd:enumeration value="FAR140"/>
          <xsd:enumeration value="FAR801"/>
          <xsd:enumeration value="FLA140"/>
          <xsd:enumeration value="FLOR61"/>
          <xsd:enumeration value="FMC177"/>
          <xsd:enumeration value="FOS202"/>
          <xsd:enumeration value="FOULA"/>
          <xsd:enumeration value="FST"/>
          <xsd:enumeration value="FUJAIR"/>
          <xsd:enumeration value="FWA"/>
          <xsd:enumeration value="FWO252"/>
          <xsd:enumeration value="GAL"/>
          <xsd:enumeration value="GEN122"/>
          <xsd:enumeration value="GONFR"/>
          <xsd:enumeration value="GP121"/>
          <xsd:enumeration value="GPA3"/>
          <xsd:enumeration value="GRJ760"/>
          <xsd:enumeration value="GUA10C"/>
          <xsd:enumeration value="GUA218"/>
          <xsd:enumeration value="GUA610"/>
          <xsd:enumeration value="GUR125"/>
          <xsd:enumeration value="GUY"/>
          <xsd:enumeration value="HAM3"/>
          <xsd:enumeration value="HAMBM"/>
          <xsd:enumeration value="HAN27"/>
          <xsd:enumeration value="HBE178"/>
          <xsd:enumeration value="HCM235"/>
          <xsd:enumeration value="HEATX"/>
          <xsd:enumeration value="HIL"/>
          <xsd:enumeration value="HKHQ"/>
          <xsd:enumeration value="HKKL"/>
          <xsd:enumeration value="HKTY"/>
          <xsd:enumeration value="HO1077"/>
          <xsd:enumeration value="HO1174"/>
          <xsd:enumeration value="HO1181"/>
          <xsd:enumeration value="HO130H"/>
          <xsd:enumeration value="HO2001"/>
          <xsd:enumeration value="HO4424"/>
          <xsd:enumeration value="HO5177"/>
          <xsd:enumeration value="HOB161"/>
          <xsd:enumeration value="HON933"/>
          <xsd:enumeration value="HOT500"/>
          <xsd:enumeration value="HOU140"/>
          <xsd:enumeration value="HOU150"/>
          <xsd:enumeration value="HOU151"/>
          <xsd:enumeration value="HOU160"/>
          <xsd:enumeration value="HOU194"/>
          <xsd:enumeration value="HOU2AC"/>
          <xsd:enumeration value="HOU300"/>
          <xsd:enumeration value="HOU400"/>
          <xsd:enumeration value="HOU599"/>
          <xsd:enumeration value="HOUM19"/>
          <xsd:enumeration value="HT1080"/>
          <xsd:enumeration value="HUMTX"/>
          <xsd:enumeration value="IDJAK"/>
          <xsd:enumeration value="IDRBI"/>
          <xsd:enumeration value="JPTOK4"/>
          <xsd:enumeration value="KAH"/>
          <xsd:enumeration value="KAPHI"/>
          <xsd:enumeration value="KER12"/>
          <xsd:enumeration value="KERTX"/>
          <xsd:enumeration value="KHHQ"/>
          <xsd:enumeration value="KHSI"/>
          <xsd:enumeration value="KIT148"/>
          <xsd:enumeration value="KIT1EW"/>
          <xsd:enumeration value="KIT366"/>
          <xsd:enumeration value="KRHQ"/>
          <xsd:enumeration value="KRISAR"/>
          <xsd:enumeration value="KYIV14"/>
          <xsd:enumeration value="KYUKR"/>
          <xsd:enumeration value="LAF100"/>
          <xsd:enumeration value="LAF575"/>
          <xsd:enumeration value="LAFLA3"/>
          <xsd:enumeration value="LAGNR"/>
          <xsd:enumeration value="LAT173"/>
          <xsd:enumeration value="LAXQX1"/>
          <xsd:enumeration value="LHICA"/>
          <xsd:enumeration value="LKHQ"/>
          <xsd:enumeration value="LKKL"/>
          <xsd:enumeration value="LO52SD"/>
          <xsd:enumeration value="LOMAMX"/>
          <xsd:enumeration value="LON200"/>
          <xsd:enumeration value="LONCAV"/>
          <xsd:enumeration value="LONPWG"/>
          <xsd:enumeration value="LONROM"/>
          <xsd:enumeration value="LOR120"/>
          <xsd:enumeration value="LOU440"/>
          <xsd:enumeration value="LOU940"/>
          <xsd:enumeration value="LOV609"/>
          <xsd:enumeration value="LOV807"/>
          <xsd:enumeration value="LUD1LP"/>
          <xsd:enumeration value="LVIV45"/>
          <xsd:enumeration value="LWY"/>
          <xsd:enumeration value="MAD241"/>
          <xsd:enumeration value="MARCA"/>
          <xsd:enumeration value="MAROK"/>
          <xsd:enumeration value="MBA"/>
          <xsd:enumeration value="MBE"/>
          <xsd:enumeration value="MCO"/>
          <xsd:enumeration value="MDA"/>
          <xsd:enumeration value="MI1270"/>
          <xsd:enumeration value="MI630A"/>
          <xsd:enumeration value="MI630T"/>
          <xsd:enumeration value="MID"/>
          <xsd:enumeration value="MID2A"/>
          <xsd:enumeration value="MINSK1"/>
          <xsd:enumeration value="MONCA"/>
          <xsd:enumeration value="MONR15"/>
          <xsd:enumeration value="MONTI1"/>
          <xsd:enumeration value="MOO155"/>
          <xsd:enumeration value="MOO600"/>
          <xsd:enumeration value="MOO700"/>
          <xsd:enumeration value="MOS"/>
          <xsd:enumeration value="MOSKS"/>
          <xsd:enumeration value="MURF16"/>
          <xsd:enumeration value="MYHQ"/>
          <xsd:enumeration value="MYKT"/>
          <xsd:enumeration value="MYPG"/>
          <xsd:enumeration value="MYPI"/>
          <xsd:enumeration value="MYPR"/>
          <xsd:enumeration value="MYTUT"/>
          <xsd:enumeration value="NAPE55"/>
          <xsd:enumeration value="NOR201"/>
          <xsd:enumeration value="NORF50"/>
          <xsd:enumeration value="NORW31"/>
          <xsd:enumeration value="NOV353"/>
          <xsd:enumeration value="NZAK"/>
          <xsd:enumeration value="NZCC"/>
          <xsd:enumeration value="NZSV"/>
          <xsd:enumeration value="ODETWR"/>
          <xsd:enumeration value="OGP"/>
          <xsd:enumeration value="OMAJA"/>
          <xsd:enumeration value="OSM43"/>
          <xsd:enumeration value="OZO"/>
          <xsd:enumeration value="PA1584"/>
          <xsd:enumeration value="PA5456"/>
          <xsd:enumeration value="PADC"/>
          <xsd:enumeration value="PAIS70"/>
          <xsd:enumeration value="PAL"/>
          <xsd:enumeration value="PAMNJ"/>
          <xsd:enumeration value="PAN"/>
          <xsd:enumeration value="PAR2"/>
          <xsd:enumeration value="PAS100"/>
          <xsd:enumeration value="PAS150"/>
          <xsd:enumeration value="PASMS"/>
          <xsd:enumeration value="PCIFL2"/>
          <xsd:enumeration value="PERAT15"/>
          <xsd:enumeration value="PERAT2"/>
          <xsd:enumeration value="PERAT8"/>
          <xsd:enumeration value="PERNEW"/>
          <xsd:enumeration value="PERTH3"/>
          <xsd:enumeration value="PETA10"/>
          <xsd:enumeration value="PH1240"/>
          <xsd:enumeration value="PHAM"/>
          <xsd:enumeration value="PHCBT"/>
          <xsd:enumeration value="PHHQ"/>
          <xsd:enumeration value="PHIGJO"/>
          <xsd:enumeration value="PHILJO"/>
          <xsd:enumeration value="PHJM"/>
          <xsd:enumeration value="PHLL"/>
          <xsd:enumeration value="PHMS"/>
          <xsd:enumeration value="PHRC"/>
          <xsd:enumeration value="PHSA"/>
          <xsd:enumeration value="PHSF"/>
          <xsd:enumeration value="PIMS96"/>
          <xsd:enumeration value="PIRA70"/>
          <xsd:enumeration value="PITCA"/>
          <xsd:enumeration value="PKAC"/>
          <xsd:enumeration value="PKFB"/>
          <xsd:enumeration value="PKKL"/>
          <xsd:enumeration value="PKMB"/>
          <xsd:enumeration value="PKSK"/>
          <xsd:enumeration value="PKWW"/>
          <xsd:enumeration value="PNC01"/>
          <xsd:enumeration value="POROR1"/>
          <xsd:enumeration value="PSO"/>
          <xsd:enumeration value="QUE469"/>
          <xsd:enumeration value="QUES32"/>
          <xsd:enumeration value="RA4RIA"/>
          <xsd:enumeration value="RAN"/>
          <xsd:enumeration value="RAO"/>
          <xsd:enumeration value="RD2600"/>
          <xsd:enumeration value="RIC100"/>
          <xsd:enumeration value="RIC145"/>
          <xsd:enumeration value="RIC155"/>
          <xsd:enumeration value="RIC841"/>
          <xsd:enumeration value="RIC940"/>
          <xsd:enumeration value="RO040"/>
          <xsd:enumeration value="RO1284"/>
          <xsd:enumeration value="ROSTX"/>
          <xsd:enumeration value="ROTNL"/>
          <xsd:enumeration value="RUEIL1"/>
          <xsd:enumeration value="SAC120"/>
          <xsd:enumeration value="SAC460"/>
          <xsd:enumeration value="SAN450"/>
          <xsd:enumeration value="SAN520"/>
          <xsd:enumeration value="SC250"/>
          <xsd:enumeration value="SCH221"/>
          <xsd:enumeration value="SD2351"/>
          <xsd:enumeration value="SEM323"/>
          <xsd:enumeration value="SEM701"/>
          <xsd:enumeration value="SEO678"/>
          <xsd:enumeration value="SF345"/>
          <xsd:enumeration value="SFNM5"/>
          <xsd:enumeration value="SFR1"/>
          <xsd:enumeration value="SGDC"/>
          <xsd:enumeration value="SGDC1"/>
          <xsd:enumeration value="SGHQ"/>
          <xsd:enumeration value="SGJR"/>
          <xsd:enumeration value="SHA369"/>
          <xsd:enumeration value="SIN149"/>
          <xsd:enumeration value="SINGA8"/>
          <xsd:enumeration value="SINQX1"/>
          <xsd:enumeration value="SINSI2"/>
          <xsd:enumeration value="SINSI5"/>
          <xsd:enumeration value="SINSI7"/>
          <xsd:enumeration value="SJCQX1"/>
          <xsd:enumeration value="SJO102"/>
          <xsd:enumeration value="SJO403"/>
          <xsd:enumeration value="SKLAM3"/>
          <xsd:enumeration value="SKLWSP"/>
          <xsd:enumeration value="SLATX"/>
          <xsd:enumeration value="SLC235"/>
          <xsd:enumeration value="SLC287"/>
          <xsd:enumeration value="SLC448"/>
          <xsd:enumeration value="SLC651"/>
          <xsd:enumeration value="SLO276"/>
          <xsd:enumeration value="SMI800"/>
          <xsd:enumeration value="SOR"/>
          <xsd:enumeration value="SPS"/>
          <xsd:enumeration value="SR6101"/>
          <xsd:enumeration value="SRICL3"/>
          <xsd:enumeration value="SRIGHI"/>
          <xsd:enumeration value="STA132"/>
          <xsd:enumeration value="SUL215"/>
          <xsd:enumeration value="SUN"/>
          <xsd:enumeration value="SYLLAC"/>
          <xsd:enumeration value="TAF105"/>
          <xsd:enumeration value="TAM550"/>
          <xsd:enumeration value="TANTI"/>
          <xsd:enumeration value="TE3974"/>
          <xsd:enumeration value="TEMHAG"/>
          <xsd:enumeration value="TEW836"/>
          <xsd:enumeration value="THBT"/>
          <xsd:enumeration value="TIA532"/>
          <xsd:enumeration value="TOKJA2"/>
          <xsd:enumeration value="TOKQX4"/>
          <xsd:enumeration value="TRA"/>
          <xsd:enumeration value="TRA169"/>
          <xsd:enumeration value="TRU545"/>
          <xsd:enumeration value="TVI"/>
          <xsd:enumeration value="TWHQ"/>
          <xsd:enumeration value="UL1JDD"/>
          <xsd:enumeration value="ULS117"/>
          <xsd:enumeration value="ULSAN"/>
          <xsd:enumeration value="VAN108"/>
          <xsd:enumeration value="VEA"/>
          <xsd:enumeration value="VEL"/>
          <xsd:enumeration value="VN1050"/>
          <xsd:enumeration value="VNHP"/>
          <xsd:enumeration value="VNU"/>
          <xsd:enumeration value="WAS600"/>
          <xsd:enumeration value="WEA"/>
          <xsd:enumeration value="WFC"/>
          <xsd:enumeration value="WHATX"/>
          <xsd:enumeration value="WHETX"/>
          <xsd:enumeration value="WO7686"/>
          <xsd:enumeration value="WSU"/>
          <xsd:enumeration value="YAAIR5"/>
          <xsd:enumeration value="YADSSC"/>
          <xsd:enumeration value="YOKOHA"/>
          <xsd:enumeration value="ZAPTX"/>
          <xsd:enumeration value="ZARF"/>
          <xsd:enumeration value="ZWI"/>
        </xsd:restriction>
      </xsd:simpleType>
    </xsd:element>
    <xsd:element name="Document_x0020_Category" ma:index="37" nillable="true" ma:displayName="Document Category" ma:format="Dropdown" ma:indexed="true" ma:internalName="Document_x0020_Category" ma:readOnly="false">
      <xsd:simpleType>
        <xsd:restriction base="dms:Choice">
          <xsd:enumeration value="Compliance Procedure"/>
          <xsd:enumeration value="Network As-Built"/>
          <xsd:enumeration value="Network Toolkit"/>
          <xsd:enumeration value="Operating Procedure"/>
          <xsd:enumeration value="Standards and Templat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d2a642-8c0e-4be2-8d73-f78f3a48523f" elementFormDefault="qualified">
    <xsd:import namespace="http://schemas.microsoft.com/office/2006/documentManagement/types"/>
    <xsd:import namespace="http://schemas.microsoft.com/office/infopath/2007/PartnerControls"/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axOccurs="1" ma:index="2" ma:displayName="Author"/>
        <xsd:element ref="dcterms:created" minOccurs="0" maxOccurs="1"/>
        <xsd:element ref="dc:identifier" minOccurs="0" maxOccurs="1"/>
        <xsd:element name="contentType" minOccurs="0" maxOccurs="1" type="xsd:string" ma:index="18" ma:displayName="Content Type"/>
        <xsd:element ref="dc:title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01231d88c934046812dbe39cf15431a xmlns="fae423db-7aea-40a7-8e81-2a365c617d65">
      <Terms xmlns="http://schemas.microsoft.com/office/infopath/2007/PartnerControls">
        <TermInfo xmlns="http://schemas.microsoft.com/office/infopath/2007/PartnerControls">
          <TermName xmlns="http://schemas.microsoft.com/office/infopath/2007/PartnerControls">Reference Document</TermName>
          <TermId xmlns="http://schemas.microsoft.com/office/infopath/2007/PartnerControls">b32bd135-7ebe-49d0-bfcc-ca766c5e9989</TermId>
        </TermInfo>
      </Terms>
    </p01231d88c934046812dbe39cf15431a>
    <p01231d88c934046812dbe39cf15430a xmlns="fae423db-7aea-40a7-8e81-2a365c617d65">
      <Terms xmlns="http://schemas.microsoft.com/office/infopath/2007/PartnerControls">
        <TermInfo xmlns="http://schemas.microsoft.com/office/infopath/2007/PartnerControls">
          <TermName xmlns="http://schemas.microsoft.com/office/infopath/2007/PartnerControls">ITSD</TermName>
          <TermId xmlns="http://schemas.microsoft.com/office/infopath/2007/PartnerControls">bc7be532-e7a6-4882-bf05-1bff6add6fcb</TermId>
        </TermInfo>
      </Terms>
    </p01231d88c934046812dbe39cf15430a>
    <TaxCatchAll xmlns="fae423db-7aea-40a7-8e81-2a365c617d65">
      <Value>7</Value>
      <Value>6</Value>
    </TaxCatchAll>
    <Retention_x0020_Start_x0020_Date xmlns="b9f1db13-37d0-4e45-944c-b878e8992007" xsi:nil="true"/>
    <f1f5acf37a9e4df8843432af9802a72a xmlns="b9f1db13-37d0-4e45-944c-b878e8992007">
      <Terms xmlns="http://schemas.microsoft.com/office/infopath/2007/PartnerControls"/>
    </f1f5acf37a9e4df8843432af9802a72a>
    <Preservation_x0020_Order_x0020_Numbers xmlns="e6bb6fa4-9c23-4df5-9c72-0315fa8fef6d" xsi:nil="true"/>
    <ExtractedContributor xmlns="http://schemas.microsoft.com/sharepoint/v3" xsi:nil="true"/>
    <Retain_x0020_Until_x0020_Date xmlns="b9f1db13-37d0-4e45-944c-b878e8992007" xsi:nil="true"/>
    <IP_x0020_Classification xmlns="e6bb6fa4-9c23-4df5-9c72-0315fa8fef6d">Company Confidential</IP_x0020_Classification>
    <Inactive_x0020_Record xmlns="b9f1db13-37d0-4e45-944c-b878e8992007" xsi:nil="true"/>
    <Document_x0020_Category xmlns="841c6410-059f-43fe-8a18-7aaa0fd81573">Compliance Procedure</Document_x0020_Category>
    <Technology_x0020_Focus xmlns="841c6410-059f-43fe-8a18-7aaa0fd81573">Local Area Network</Technology_x0020_Focus>
    <Location_x0020_Type xmlns="841c6410-059f-43fe-8a18-7aaa0fd81573">D-Hub</Location_x0020_Type>
    <Associated_x0020_Project xmlns="841c6410-059f-43fe-8a18-7aaa0fd81573" xsi:nil="true"/>
    <Site xmlns="841c6410-059f-43fe-8a18-7aaa0fd81573">HOU150</Site>
    <DocumentType xmlns="841c6410-059f-43fe-8a18-7aaa0fd81573" xsi:nil="true"/>
    <IconOverlay xmlns="http://schemas.microsoft.com/sharepoint/v4" xsi:nil="true"/>
    <Region xmlns="841c6410-059f-43fe-8a18-7aaa0fd81573" xsi:nil="true"/>
    <Business_x0020_Unit xmlns="841c6410-059f-43fe-8a18-7aaa0fd81573" xsi:nil="true"/>
    <Core_x0020_Documentation xmlns="841c6410-059f-43fe-8a18-7aaa0fd81573">false</Core_x0020_Documentation>
    <Archive xmlns="841c6410-059f-43fe-8a18-7aaa0fd81573">false</Archive>
    <SharedWithUsers xmlns="a1d2a642-8c0e-4be2-8d73-f78f3a48523f">
      <UserInfo>
        <DisplayName>Rickman, Gary (GMRI)</DisplayName>
        <AccountId>1685</AccountId>
        <AccountType/>
      </UserInfo>
      <UserInfo>
        <DisplayName>Wojcik, Gerard J</DisplayName>
        <AccountId>902</AccountId>
        <AccountType/>
      </UserInfo>
      <UserInfo>
        <DisplayName>McKenzie, Shawn [Oxford Global Resources]</DisplayName>
        <AccountId>925</AccountId>
        <AccountType/>
      </UserInfo>
      <UserInfo>
        <DisplayName>Sexton, Gilbert J</DisplayName>
        <AccountId>274</AccountId>
        <AccountType/>
      </UserInfo>
      <UserInfo>
        <DisplayName>Mane, Raj [LTI]</DisplayName>
        <AccountId>3178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4BDA8A6A-45E0-4B62-9F22-B56AC8E873A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4E12B5C-3E65-4D0F-ADA5-17B5D2B00376}">
  <ds:schemaRefs>
    <ds:schemaRef ds:uri="Microsoft.SharePoint.Taxonomy.ContentTypeSync"/>
  </ds:schemaRefs>
</ds:datastoreItem>
</file>

<file path=customXml/itemProps3.xml><?xml version="1.0" encoding="utf-8"?>
<ds:datastoreItem xmlns:ds="http://schemas.openxmlformats.org/officeDocument/2006/customXml" ds:itemID="{102C0D1B-4AE4-4481-8A45-378C8362C59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ae423db-7aea-40a7-8e81-2a365c617d65"/>
    <ds:schemaRef ds:uri="e6bb6fa4-9c23-4df5-9c72-0315fa8fef6d"/>
    <ds:schemaRef ds:uri="b9f1db13-37d0-4e45-944c-b878e8992007"/>
    <ds:schemaRef ds:uri="http://schemas.microsoft.com/sharepoint/v4"/>
    <ds:schemaRef ds:uri="841c6410-059f-43fe-8a18-7aaa0fd81573"/>
    <ds:schemaRef ds:uri="a1d2a642-8c0e-4be2-8d73-f78f3a48523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0EA85E31-CCF3-4034-9F9F-F6DC4C12E6EA}">
  <ds:schemaRefs>
    <ds:schemaRef ds:uri="http://schemas.microsoft.com/office/infopath/2007/PartnerControls"/>
    <ds:schemaRef ds:uri="http://schemas.microsoft.com/sharepoint/v3"/>
    <ds:schemaRef ds:uri="b9f1db13-37d0-4e45-944c-b878e8992007"/>
    <ds:schemaRef ds:uri="http://purl.org/dc/terms/"/>
    <ds:schemaRef ds:uri="http://schemas.openxmlformats.org/package/2006/metadata/core-properties"/>
    <ds:schemaRef ds:uri="a1d2a642-8c0e-4be2-8d73-f78f3a48523f"/>
    <ds:schemaRef ds:uri="http://schemas.microsoft.com/office/2006/documentManagement/types"/>
    <ds:schemaRef ds:uri="841c6410-059f-43fe-8a18-7aaa0fd81573"/>
    <ds:schemaRef ds:uri="http://schemas.microsoft.com/sharepoint/v4"/>
    <ds:schemaRef ds:uri="e6bb6fa4-9c23-4df5-9c72-0315fa8fef6d"/>
    <ds:schemaRef ds:uri="http://purl.org/dc/elements/1.1/"/>
    <ds:schemaRef ds:uri="http://schemas.microsoft.com/office/2006/metadata/properties"/>
    <ds:schemaRef ds:uri="fae423db-7aea-40a7-8e81-2a365c617d65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Design Decisons</vt:lpstr>
      <vt:lpstr>Index</vt:lpstr>
      <vt:lpstr>Base Config</vt:lpstr>
      <vt:lpstr>VLANs </vt:lpstr>
      <vt:lpstr>SVI for Data Vlan</vt:lpstr>
      <vt:lpstr>NTP Config + NTP ACL</vt:lpstr>
      <vt:lpstr>STP(spanning tree) Config</vt:lpstr>
      <vt:lpstr>DNS Config</vt:lpstr>
      <vt:lpstr>SSH Config</vt:lpstr>
      <vt:lpstr>VTP Config</vt:lpstr>
      <vt:lpstr>VTY + ACL</vt:lpstr>
      <vt:lpstr>Syslog Config</vt:lpstr>
      <vt:lpstr>Tacacs config</vt:lpstr>
      <vt:lpstr>Dot1x Config (+int conf)</vt:lpstr>
      <vt:lpstr>Uplink Config</vt:lpstr>
      <vt:lpstr>SNMP Config + SNMP ACL</vt:lpstr>
      <vt:lpstr>QoS Config</vt:lpstr>
      <vt:lpstr>License call home config</vt:lpstr>
      <vt:lpstr>MACSEC config(optional)</vt:lpstr>
      <vt:lpstr>Uplink Tagging</vt:lpstr>
      <vt:lpstr>SNMP Location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Access Layer Config</dc:title>
  <dc:subject/>
  <dc:creator>Meena Chockalingam</dc:creator>
  <cp:keywords/>
  <dc:description/>
  <cp:lastModifiedBy>Ondar, Sergei</cp:lastModifiedBy>
  <cp:revision/>
  <dcterms:created xsi:type="dcterms:W3CDTF">2019-03-12T01:08:53Z</dcterms:created>
  <dcterms:modified xsi:type="dcterms:W3CDTF">2021-06-04T15:57:40Z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0x010100FBB1BDE89FB27C449A0E29AF421E31240100A3A23CD057A6394CAE2EFB35865404C1</vt:lpwstr>
  </property>
  <property fmtid="{D5CDD505-2E9C-101B-9397-08002B2CF9AE}" pid="3" name="Retention Category">
    <vt:lpwstr>6;#Reference Document|b32bd135-7ebe-49d0-bfcc-ca766c5e9989</vt:lpwstr>
  </property>
  <property fmtid="{D5CDD505-2E9C-101B-9397-08002B2CF9AE}" pid="4" name="Chevron Organization">
    <vt:lpwstr>7;#ITSD|bc7be532-e7a6-4882-bf05-1bff6add6fcb</vt:lpwstr>
  </property>
  <property fmtid="{D5CDD505-2E9C-101B-9397-08002B2CF9AE}" pid="5" name="Chevron Discipline">
    <vt:lpwstr/>
  </property>
  <property fmtid="{D5CDD505-2E9C-101B-9397-08002B2CF9AE}" pid="6" name="Facility Code">
    <vt:lpwstr>HOU150</vt:lpwstr>
  </property>
  <property fmtid="{D5CDD505-2E9C-101B-9397-08002B2CF9AE}" pid="7" name="Document Type">
    <vt:lpwstr>Checklist</vt:lpwstr>
  </property>
  <property fmtid="{D5CDD505-2E9C-101B-9397-08002B2CF9AE}" pid="8" name="MSIP_Label_07581a45-ebc1-4f92-9275-5bfe010ae689_Enabled">
    <vt:lpwstr>true</vt:lpwstr>
  </property>
  <property fmtid="{D5CDD505-2E9C-101B-9397-08002B2CF9AE}" pid="9" name="MSIP_Label_07581a45-ebc1-4f92-9275-5bfe010ae689_SetDate">
    <vt:lpwstr>2019-10-18T16:46:55Z</vt:lpwstr>
  </property>
  <property fmtid="{D5CDD505-2E9C-101B-9397-08002B2CF9AE}" pid="10" name="MSIP_Label_07581a45-ebc1-4f92-9275-5bfe010ae689_Method">
    <vt:lpwstr>Standard</vt:lpwstr>
  </property>
  <property fmtid="{D5CDD505-2E9C-101B-9397-08002B2CF9AE}" pid="11" name="MSIP_Label_07581a45-ebc1-4f92-9275-5bfe010ae689_Name">
    <vt:lpwstr>Company Confidential</vt:lpwstr>
  </property>
  <property fmtid="{D5CDD505-2E9C-101B-9397-08002B2CF9AE}" pid="12" name="MSIP_Label_07581a45-ebc1-4f92-9275-5bfe010ae689_SiteId">
    <vt:lpwstr>fd799da1-bfc1-4234-a91c-72b3a1cb9e26</vt:lpwstr>
  </property>
  <property fmtid="{D5CDD505-2E9C-101B-9397-08002B2CF9AE}" pid="13" name="MSIP_Label_07581a45-ebc1-4f92-9275-5bfe010ae689_ActionId">
    <vt:lpwstr>0560a008-4ec0-478d-a0a9-000085ff0127</vt:lpwstr>
  </property>
  <property fmtid="{D5CDD505-2E9C-101B-9397-08002B2CF9AE}" pid="14" name="MSIP_Label_07581a45-ebc1-4f92-9275-5bfe010ae689_ContentBits">
    <vt:lpwstr>0</vt:lpwstr>
  </property>
</Properties>
</file>