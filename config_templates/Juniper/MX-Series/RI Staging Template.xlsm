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vsd" ContentType="application/vnd.visi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01"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hosg\Downloads\"/>
    </mc:Choice>
  </mc:AlternateContent>
  <xr:revisionPtr revIDLastSave="0" documentId="13_ncr:1_{FFFC1D6A-C50D-448D-AC6F-3816DCE52D05}" xr6:coauthVersionLast="46" xr6:coauthVersionMax="46" xr10:uidLastSave="{00000000-0000-0000-0000-000000000000}"/>
  <bookViews>
    <workbookView xWindow="-120" yWindow="-120" windowWidth="29040" windowHeight="15840" tabRatio="787" xr2:uid="{00000000-000D-0000-FFFF-FFFF00000000}"/>
  </bookViews>
  <sheets>
    <sheet name="Details" sheetId="1" r:id="rId1"/>
    <sheet name="MX204 Base Config" sheetId="16" r:id="rId2"/>
    <sheet name="MX240 Base Config" sheetId="26" r:id="rId3"/>
    <sheet name="SNMP" sheetId="25" r:id="rId4"/>
    <sheet name="Verification" sheetId="19" r:id="rId5"/>
    <sheet name="Version History" sheetId="10" r:id="rId6"/>
  </sheets>
  <externalReferences>
    <externalReference r:id="rId7"/>
    <externalReference r:id="rId8"/>
  </externalReferences>
  <definedNames>
    <definedName name="aeInterface" localSheetId="3">[1]Details!$B$29</definedName>
    <definedName name="AEip" localSheetId="3">[1]Details!$B$30</definedName>
    <definedName name="FacCode">Details!$I$23</definedName>
    <definedName name="FXP0IP">Details!$B$24</definedName>
    <definedName name="FXP0IPMASK">Details!$D$24</definedName>
    <definedName name="Gateway">Details!$B$25</definedName>
    <definedName name="Hostname" localSheetId="3">[1]Details!$B$25</definedName>
    <definedName name="Hostname">Details!$B$22</definedName>
    <definedName name="ISOAddress" localSheetId="3">[1]Details!$B$33</definedName>
    <definedName name="LoopbackIP" localSheetId="3">[1]Details!$B$26</definedName>
    <definedName name="LoopbackIP">Details!$B$23</definedName>
    <definedName name="physicalInterface" localSheetId="3">[1]Details!$B$28</definedName>
    <definedName name="PortType">'[2]Switch Details'!$B$19</definedName>
    <definedName name="SwitchModel">'[2]Switch Details'!$B$21</definedName>
    <definedName name="VTPDomain">'[2]Switch Details'!$B$18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20" i="16" l="1"/>
  <c r="A49" i="26"/>
  <c r="A48" i="26"/>
  <c r="A39" i="26"/>
  <c r="A20" i="26"/>
  <c r="A30" i="16"/>
  <c r="A99" i="26"/>
  <c r="A92" i="26"/>
  <c r="A46" i="26"/>
  <c r="A38" i="26"/>
  <c r="A19" i="26"/>
  <c r="A76" i="16" l="1"/>
  <c r="A69" i="16"/>
  <c r="A29" i="16"/>
  <c r="A27" i="16"/>
  <c r="A19" i="16"/>
  <c r="D24" i="1"/>
  <c r="A5" i="19"/>
  <c r="E25" i="1"/>
  <c r="E24" i="1"/>
  <c r="A10" i="26" l="1"/>
  <c r="A29" i="26"/>
  <c r="A10" i="16"/>
  <c r="D23" i="1"/>
</calcChain>
</file>

<file path=xl/sharedStrings.xml><?xml version="1.0" encoding="utf-8"?>
<sst xmlns="http://schemas.openxmlformats.org/spreadsheetml/2006/main" count="275" uniqueCount="143">
  <si>
    <t>Please complete the information on this sheet. The generated configs are found on the remaining tabs</t>
  </si>
  <si>
    <t>Version History</t>
  </si>
  <si>
    <t>Version</t>
  </si>
  <si>
    <t>Author</t>
  </si>
  <si>
    <t>Comments</t>
  </si>
  <si>
    <t>This tab contains the version history of this template.</t>
  </si>
  <si>
    <t>Update this tab when changing anything here to provide evidence that the template is routinely checked against CIRS controls</t>
  </si>
  <si>
    <t>Date</t>
  </si>
  <si>
    <t>1</t>
  </si>
  <si>
    <t>2</t>
  </si>
  <si>
    <t>3</t>
  </si>
  <si>
    <t>4</t>
  </si>
  <si>
    <t>5</t>
  </si>
  <si>
    <t>6</t>
  </si>
  <si>
    <t>7</t>
  </si>
  <si>
    <t>8</t>
  </si>
  <si>
    <t>9</t>
  </si>
  <si>
    <t>10</t>
  </si>
  <si>
    <t>11</t>
  </si>
  <si>
    <t>12</t>
  </si>
  <si>
    <t>13</t>
  </si>
  <si>
    <t>14</t>
  </si>
  <si>
    <t>15</t>
  </si>
  <si>
    <t>16</t>
  </si>
  <si>
    <t>Original version</t>
  </si>
  <si>
    <t>Loopback IP address</t>
  </si>
  <si>
    <t>system {</t>
  </si>
  <si>
    <t xml:space="preserve">    domain-name mpls0.chevron.net;</t>
  </si>
  <si>
    <t xml:space="preserve">    root-authentication {</t>
  </si>
  <si>
    <t xml:space="preserve">        encrypted-password "$1$N29n4GE2$0T7zTQGl3VgD1ilx75H89/"; ## SECRET-DATA</t>
  </si>
  <si>
    <t xml:space="preserve">    }</t>
  </si>
  <si>
    <t xml:space="preserve">    login {</t>
  </si>
  <si>
    <t xml:space="preserve">            class super-user;</t>
  </si>
  <si>
    <t xml:space="preserve">            authentication {</t>
  </si>
  <si>
    <t xml:space="preserve">            }</t>
  </si>
  <si>
    <t xml:space="preserve">        }</t>
  </si>
  <si>
    <t xml:space="preserve">        user svc-junospace {</t>
  </si>
  <si>
    <t xml:space="preserve">    services {</t>
  </si>
  <si>
    <t xml:space="preserve">        ssh;</t>
  </si>
  <si>
    <t xml:space="preserve">        netconf {</t>
  </si>
  <si>
    <t xml:space="preserve">            ssh;</t>
  </si>
  <si>
    <t xml:space="preserve">    commit synchronize;</t>
  </si>
  <si>
    <t>}</t>
  </si>
  <si>
    <t>chassis {</t>
  </si>
  <si>
    <t xml:space="preserve">    redundancy {</t>
  </si>
  <si>
    <t xml:space="preserve">        routing-engine 0 master;</t>
  </si>
  <si>
    <t xml:space="preserve">        graceful-switchover;</t>
  </si>
  <si>
    <t xml:space="preserve">    aggregated-devices {</t>
  </si>
  <si>
    <t xml:space="preserve">        ethernet {</t>
  </si>
  <si>
    <t xml:space="preserve">            device-count 20;</t>
  </si>
  <si>
    <t>interfaces {</t>
  </si>
  <si>
    <t xml:space="preserve">    lo0 {</t>
  </si>
  <si>
    <t xml:space="preserve">        unit 0 {</t>
  </si>
  <si>
    <t xml:space="preserve">            family inet {</t>
  </si>
  <si>
    <t>snmp {</t>
  </si>
  <si>
    <t xml:space="preserve">    v3 {</t>
  </si>
  <si>
    <t xml:space="preserve">        usm {</t>
  </si>
  <si>
    <t xml:space="preserve">            local-engine {</t>
  </si>
  <si>
    <t xml:space="preserve">                    authentication-sha {</t>
  </si>
  <si>
    <t xml:space="preserve">                    }</t>
  </si>
  <si>
    <t xml:space="preserve">                }</t>
  </si>
  <si>
    <t xml:space="preserve">                user CVX {</t>
  </si>
  <si>
    <t xml:space="preserve">                    privacy-aes128 {        </t>
  </si>
  <si>
    <t xml:space="preserve">        vacm {</t>
  </si>
  <si>
    <t xml:space="preserve">            security-to-group {</t>
  </si>
  <si>
    <t xml:space="preserve">                security-model usm {</t>
  </si>
  <si>
    <t xml:space="preserve">                    security-name CVX {</t>
  </si>
  <si>
    <t xml:space="preserve">                        group CVX-NMS;</t>
  </si>
  <si>
    <t xml:space="preserve">            access {</t>
  </si>
  <si>
    <t xml:space="preserve">                group CVX-NMS {</t>
  </si>
  <si>
    <t xml:space="preserve">                    default-context-prefix {</t>
  </si>
  <si>
    <t xml:space="preserve">                        security-model usm {</t>
  </si>
  <si>
    <t xml:space="preserve">                            security-level privacy {</t>
  </si>
  <si>
    <t xml:space="preserve">                                read-view ViewAll-01;</t>
  </si>
  <si>
    <t xml:space="preserve">                                notify-view ViewAll-01;</t>
  </si>
  <si>
    <t xml:space="preserve">                            }</t>
  </si>
  <si>
    <t xml:space="preserve">                        }</t>
  </si>
  <si>
    <t xml:space="preserve">        notify CVX-Notify-01 {</t>
  </si>
  <si>
    <t xml:space="preserve">            type trap;</t>
  </si>
  <si>
    <t xml:space="preserve">            tag CVX-Mgmt-v3-01;</t>
  </si>
  <si>
    <t xml:space="preserve">        notify-filter NotifyAll {</t>
  </si>
  <si>
    <t xml:space="preserve">            oid .1 include;</t>
  </si>
  <si>
    <t xml:space="preserve">    view ViewAll-01 {</t>
  </si>
  <si>
    <t xml:space="preserve">        oid .1 include;</t>
  </si>
  <si>
    <t xml:space="preserve">    trap-group space {</t>
  </si>
  <si>
    <t xml:space="preserve">        version v2;</t>
  </si>
  <si>
    <t xml:space="preserve">        targets {</t>
  </si>
  <si>
    <t xml:space="preserve">            139.65.136.21;</t>
  </si>
  <si>
    <t>routing-options {</t>
  </si>
  <si>
    <t xml:space="preserve">    graceful-restart;</t>
  </si>
  <si>
    <t>protocols {</t>
  </si>
  <si>
    <t xml:space="preserve">    lldp {</t>
  </si>
  <si>
    <t xml:space="preserve">        interface all;</t>
  </si>
  <si>
    <t>groups {</t>
  </si>
  <si>
    <t xml:space="preserve">        interfaces {</t>
  </si>
  <si>
    <t xml:space="preserve">                unit 0 {</t>
  </si>
  <si>
    <t>Copy the configs into notepad and then onto your router.</t>
  </si>
  <si>
    <t>SECTION 1: Device Specific Information (underlined fields are hyperlinks to the relevant documents)</t>
  </si>
  <si>
    <t>HOSG</t>
  </si>
  <si>
    <t>Verification and troubleshooting</t>
  </si>
  <si>
    <t>Helpful commands to verify that the configuration is working correctly</t>
  </si>
  <si>
    <t>Command</t>
  </si>
  <si>
    <t>What it does</t>
  </si>
  <si>
    <t>Sample output</t>
  </si>
  <si>
    <t xml:space="preserve">PING 139.65.136.20 (139.65.136.20): 56 data bytes
64 bytes from 139.65.136.20: icmp_seq=0 ttl=126 time=34.086 ms
64 bytes from 139.65.136.20: icmp_seq=1 ttl=126 time=33.958 ms
64 bytes from 139.65.136.20: icmp_seq=2 ttl=126 time=34.039 ms
64 bytes from 139.65.136.20: icmp_seq=3 ttl=126 time=34.048 ms
64 bytes from 139.65.136.20: icmp_seq=4 ttl=126 time=34.034 ms
--- 139.65.136.20 ping statistics ---
5 packets transmitted, 5 packets received, 0% packet loss
round-trip min/avg/max/stddev = 33.958/34.033/34.086/0.042 ms
</t>
  </si>
  <si>
    <t>ping 139.65.136.20 count 5</t>
  </si>
  <si>
    <t>Pings JunosSpace in Houston
Check for 5 packets received</t>
  </si>
  <si>
    <t xml:space="preserve">        message "\n****************************************************\nWARNING TO UNAUTHORIZED USERS:\nThis system is for use by authorized users only.\nAny individual using this system, by such use,\nacknowledges and consents to the right of the\ncompany to monitor, access, use, and disclose any\ninformation generated, received, or stored on the\nsystems, and waives any right of privacy or\nexpectation of privacy on the part of that\nindividual in connection with his or her use of\nthis system. Unauthorized and/or improper use of\nthis system, as delineated by corporate policies,\nis not tolerated and the company may take formal\naction against such individuals.\n****************************************************\n";</t>
  </si>
  <si>
    <t>FXP0 IP Address</t>
  </si>
  <si>
    <t>Default Gateway for netmgmt subnet</t>
  </si>
  <si>
    <t xml:space="preserve">        user cvxadmin {</t>
  </si>
  <si>
    <t xml:space="preserve">                encrypted-password "$1$iCSSb0C6$dmVmus208n2TiEycnJPHY."; ## SECRET-DATA</t>
  </si>
  <si>
    <t xml:space="preserve">    re0 {</t>
  </si>
  <si>
    <t xml:space="preserve">            fxp0 {</t>
  </si>
  <si>
    <t xml:space="preserve">                    family inet {</t>
  </si>
  <si>
    <t xml:space="preserve">                            master-only;</t>
  </si>
  <si>
    <t xml:space="preserve">        routing-options {</t>
  </si>
  <si>
    <t xml:space="preserve">            static {</t>
  </si>
  <si>
    <t xml:space="preserve">    re1 {</t>
  </si>
  <si>
    <t>apply-groups [ re0 re1 ];</t>
  </si>
  <si>
    <t>Checks the fxp0 interface is up
Look for admin up / link up</t>
  </si>
  <si>
    <t>6 Sept 2014</t>
  </si>
  <si>
    <t>/32</t>
  </si>
  <si>
    <t xml:space="preserve">        port-id-subtype interface-name;</t>
  </si>
  <si>
    <t>Copy this configuration into the router using "load merge terminal" command then commit the config</t>
  </si>
  <si>
    <t>MX240 ONLY!!! NOT THE MX204</t>
  </si>
  <si>
    <t>apply-groups [ re0 ];</t>
  </si>
  <si>
    <t xml:space="preserve">    network-services enhanced-ip;</t>
  </si>
  <si>
    <t>MX204 Configuration</t>
  </si>
  <si>
    <t>SNMP Config - needs to be applied after Base Config</t>
  </si>
  <si>
    <t>Copy this configuration into the router using "load override terminal" command then commit</t>
  </si>
  <si>
    <t>4 June 2020</t>
  </si>
  <si>
    <t>Updated with MX204</t>
  </si>
  <si>
    <t>then do a "request system reboot"</t>
  </si>
  <si>
    <t xml:space="preserve">        encrypted-password "$6$WjMJ0yye$c/kDXI.nc.EIvBKoLS8I1819o7kx1L1FFD0Eklw12QR4kPE2DJcPuzqpF65IyXbS8.UKEajv76Y1mqsoH/P.r."; ## SECRET-DATA</t>
  </si>
  <si>
    <t>/28</t>
  </si>
  <si>
    <t>Hostname (FULL NAME)</t>
  </si>
  <si>
    <t>Note: This template is used for the initial bring up of a RI (Internet router) router as part of the core network/ION solution</t>
  </si>
  <si>
    <t>then do a "request system reboot" - YES, Again!</t>
  </si>
  <si>
    <t xml:space="preserve">                encrypted-password "$6$tc6DNXrT$V1pGqO31dKibwjvCklxt4WyVJ5sKrEbcOOGFN4ZE9K9wrIZAyL4LGnenlh6FP9gIPXF.IfeMPVcOP5kglNA4b/"; ## SECRET-DATA</t>
  </si>
  <si>
    <t xml:space="preserve">                        authentication-password "R705JRWEGYvGpzYeY78z62pn99rMtpU8"; </t>
  </si>
  <si>
    <t xml:space="preserve">                        privacy-password "jrmrVD2xfhMsK3VD0c5IA8fB2eDx2FWo";</t>
  </si>
  <si>
    <t>Juniper RI Staging Template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</si>
</sst>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
  </numFmts>
  <fonts count="20" x14ac:knownFonts="1">
    <font>
      <sz val="10"/>
      <name val="Arial"/>
    </font>
    <font>
      <sz val="8"/>
      <name val="Arial"/>
      <family val="2"/>
    </font>
    <font>
      <u/>
      <sz val="10"/>
      <color indexed="12"/>
      <name val="Arial"/>
      <family val="2"/>
    </font>
    <font>
      <sz val="11"/>
      <color theme="1"/>
      <name val="Calibri"/>
      <family val="2"/>
      <scheme val="minor"/>
    </font>
    <font>
      <b/>
      <sz val="14"/>
      <color indexed="12"/>
      <name val="Calibri"/>
      <family val="2"/>
      <scheme val="minor"/>
    </font>
    <font>
      <sz val="10"/>
      <name val="Calibri"/>
      <family val="2"/>
      <scheme val="minor"/>
    </font>
    <font>
      <i/>
      <sz val="10"/>
      <name val="Calibri"/>
      <family val="2"/>
      <scheme val="minor"/>
    </font>
    <font>
      <b/>
      <sz val="10"/>
      <color indexed="10"/>
      <name val="Calibri"/>
      <family val="2"/>
      <scheme val="minor"/>
    </font>
    <font>
      <b/>
      <sz val="10"/>
      <name val="Calibri"/>
      <family val="2"/>
      <scheme val="minor"/>
    </font>
    <font>
      <b/>
      <sz val="10"/>
      <color rgb="FFFF0000"/>
      <name val="Calibri"/>
      <family val="2"/>
      <scheme val="minor"/>
    </font>
    <font>
      <b/>
      <sz val="10"/>
      <color indexed="12"/>
      <name val="Calibri"/>
      <family val="2"/>
      <scheme val="minor"/>
    </font>
    <font>
      <sz val="10"/>
      <name val="Consolas"/>
      <family val="3"/>
    </font>
    <font>
      <u/>
      <sz val="10"/>
      <color indexed="12"/>
      <name val="Calibri"/>
      <family val="2"/>
      <scheme val="minor"/>
    </font>
    <font>
      <sz val="10"/>
      <color rgb="FFFF0000"/>
      <name val="Consolas"/>
      <family val="3"/>
    </font>
    <font>
      <sz val="10"/>
      <name val="Arial"/>
      <family val="2"/>
    </font>
    <font>
      <sz val="10"/>
      <name val="Arial"/>
    </font>
    <font>
      <sz val="11"/>
      <color theme="0"/>
      <name val="Calibri"/>
      <family val="2"/>
      <scheme val="minor"/>
    </font>
    <font>
      <b/>
      <sz val="14"/>
      <color theme="0"/>
      <name val="Calibri"/>
      <family val="2"/>
      <scheme val="minor"/>
    </font>
    <font>
      <b/>
      <sz val="12"/>
      <color rgb="FFFF0000"/>
      <name val="Calibri"/>
      <family val="2"/>
      <scheme val="minor"/>
    </font>
    <font>
      <b/>
      <sz val="18"/>
      <color rgb="FFFFFF00"/>
      <name val="Calibri"/>
      <family val="2"/>
      <scheme val="minor"/>
    </font>
  </fonts>
  <fills count="6">
    <fill>
      <patternFill patternType="none"/>
    </fill>
    <fill>
      <patternFill patternType="gray125"/>
    </fill>
    <fill>
      <patternFill patternType="solid">
        <fgColor indexed="31"/>
        <bgColor indexed="64"/>
      </patternFill>
    </fill>
    <fill>
      <patternFill patternType="solid">
        <fgColor rgb="FFFFFFCC"/>
      </patternFill>
    </fill>
    <fill>
      <patternFill patternType="solid">
        <fgColor theme="5"/>
      </patternFill>
    </fill>
    <fill>
      <patternFill patternType="solid">
        <fgColor theme="2"/>
        <bgColor indexed="64"/>
      </patternFill>
    </fill>
  </fills>
  <borders count="3">
    <border>
      <left/>
      <right/>
      <top/>
      <bottom/>
      <diagonal/>
    </border>
    <border>
      <left/>
      <right/>
      <top style="medium">
        <color indexed="12"/>
      </top>
      <bottom/>
      <diagonal/>
    </border>
    <border>
      <left style="thin">
        <color rgb="FFB2B2B2"/>
      </left>
      <right style="thin">
        <color rgb="FFB2B2B2"/>
      </right>
      <top style="thin">
        <color rgb="FFB2B2B2"/>
      </top>
      <bottom style="thin">
        <color rgb="FFB2B2B2"/>
      </bottom>
      <diagonal/>
    </border>
  </borders>
  <cellStyleXfs count="5">
    <xf numFmtId="0" fontId="0" fillId="0" borderId="0"/>
    <xf numFmtId="0" fontId="2" fillId="0" borderId="0" applyNumberFormat="0" applyFill="0" applyBorder="0" applyAlignment="0" applyProtection="0">
      <alignment vertical="top"/>
      <protection locked="0"/>
    </xf>
    <xf numFmtId="0" fontId="3" fillId="0" borderId="0"/>
    <xf numFmtId="0" fontId="15" fillId="3" borderId="2" applyNumberFormat="0" applyFont="0" applyAlignment="0" applyProtection="0"/>
    <xf numFmtId="0" fontId="16" fillId="4" borderId="0" applyNumberFormat="0" applyBorder="0" applyAlignment="0" applyProtection="0"/>
  </cellStyleXfs>
  <cellXfs count="35">
    <xf numFmtId="0" fontId="0" fillId="0" borderId="0" xfId="0"/>
    <xf numFmtId="49" fontId="4" fillId="0" borderId="0" xfId="0" applyNumberFormat="1" applyFont="1"/>
    <xf numFmtId="49" fontId="0" fillId="0" borderId="0" xfId="0" applyNumberFormat="1"/>
    <xf numFmtId="49" fontId="6" fillId="0" borderId="0" xfId="0" applyNumberFormat="1" applyFont="1"/>
    <xf numFmtId="49" fontId="5" fillId="0" borderId="0" xfId="0" applyNumberFormat="1" applyFont="1" applyBorder="1"/>
    <xf numFmtId="49" fontId="5" fillId="0" borderId="0" xfId="0" applyNumberFormat="1" applyFont="1" applyAlignment="1">
      <alignment vertical="top"/>
    </xf>
    <xf numFmtId="0" fontId="0" fillId="0" borderId="0" xfId="0" applyAlignment="1">
      <alignment vertical="top"/>
    </xf>
    <xf numFmtId="49" fontId="5" fillId="0" borderId="0" xfId="0" applyNumberFormat="1" applyFont="1" applyBorder="1" applyAlignment="1">
      <alignment vertical="top"/>
    </xf>
    <xf numFmtId="49" fontId="5" fillId="0" borderId="0" xfId="0" applyNumberFormat="1" applyFont="1" applyBorder="1" applyAlignment="1">
      <alignment vertical="top" wrapText="1"/>
    </xf>
    <xf numFmtId="0" fontId="4" fillId="0" borderId="0" xfId="0" applyFont="1" applyProtection="1"/>
    <xf numFmtId="0" fontId="5" fillId="0" borderId="0" xfId="0" applyFont="1" applyProtection="1"/>
    <xf numFmtId="0" fontId="9" fillId="0" borderId="0" xfId="0" applyFont="1" applyProtection="1"/>
    <xf numFmtId="0" fontId="6" fillId="0" borderId="0" xfId="0" applyFont="1" applyProtection="1"/>
    <xf numFmtId="0" fontId="10" fillId="0" borderId="1" xfId="0" applyFont="1" applyBorder="1" applyProtection="1"/>
    <xf numFmtId="164" fontId="7" fillId="0" borderId="0" xfId="0" applyNumberFormat="1" applyFont="1" applyAlignment="1" applyProtection="1">
      <alignment horizontal="center"/>
    </xf>
    <xf numFmtId="0" fontId="10" fillId="0" borderId="0" xfId="0" applyFont="1" applyBorder="1" applyProtection="1"/>
    <xf numFmtId="0" fontId="11" fillId="0" borderId="0" xfId="0" applyFont="1"/>
    <xf numFmtId="0" fontId="12" fillId="0" borderId="0" xfId="1" applyFont="1" applyAlignment="1" applyProtection="1"/>
    <xf numFmtId="3" fontId="8" fillId="2" borderId="0" xfId="0" applyNumberFormat="1" applyFont="1" applyFill="1" applyAlignment="1" applyProtection="1">
      <alignment horizontal="center"/>
      <protection locked="0"/>
    </xf>
    <xf numFmtId="164" fontId="9" fillId="0" borderId="0" xfId="0" applyNumberFormat="1" applyFont="1" applyProtection="1"/>
    <xf numFmtId="0" fontId="11" fillId="0" borderId="0" xfId="0" applyFont="1" applyBorder="1"/>
    <xf numFmtId="0" fontId="14" fillId="0" borderId="0" xfId="0" applyFont="1"/>
    <xf numFmtId="0" fontId="11" fillId="0" borderId="0" xfId="0" applyFont="1" applyAlignment="1">
      <alignment wrapText="1"/>
    </xf>
    <xf numFmtId="0" fontId="11" fillId="0" borderId="0" xfId="0" applyFont="1" applyAlignment="1" applyProtection="1">
      <alignment vertical="top"/>
    </xf>
    <xf numFmtId="0" fontId="5" fillId="0" borderId="0" xfId="0" applyFont="1" applyAlignment="1" applyProtection="1">
      <alignment vertical="top" wrapText="1"/>
    </xf>
    <xf numFmtId="0" fontId="17" fillId="4" borderId="0" xfId="4" applyFont="1"/>
    <xf numFmtId="0" fontId="18" fillId="3" borderId="2" xfId="3" applyFont="1"/>
    <xf numFmtId="0" fontId="13" fillId="0" borderId="0" xfId="0" applyFont="1"/>
    <xf numFmtId="0" fontId="10" fillId="0" borderId="0" xfId="0" quotePrefix="1" applyFont="1" applyBorder="1" applyProtection="1"/>
    <xf numFmtId="164" fontId="5" fillId="0" borderId="0" xfId="0" applyNumberFormat="1" applyFont="1" applyProtection="1"/>
    <xf numFmtId="0" fontId="11" fillId="0" borderId="0" xfId="0" applyFont="1" applyFill="1" applyBorder="1"/>
    <xf numFmtId="0" fontId="13" fillId="5" borderId="0" xfId="0" applyFont="1" applyFill="1" applyBorder="1"/>
    <xf numFmtId="0" fontId="11" fillId="0" borderId="0" xfId="0" applyFont="1" applyAlignment="1">
      <alignment vertical="center"/>
    </xf>
    <xf numFmtId="0" fontId="19" fillId="4" borderId="0" xfId="4" applyFont="1"/>
    <xf numFmtId="0" fontId="5" fillId="0" borderId="0" xfId="0" applyFont="1" applyFill="1"/>
  </cellXfs>
  <cellStyles count="5">
    <cellStyle name="Accent2" xfId="4" builtinId="33"/>
    <cellStyle name="Hyperlink" xfId="1" builtinId="8"/>
    <cellStyle name="Normal" xfId="0" builtinId="0"/>
    <cellStyle name="Normal 2" xfId="2" xr:uid="{00000000-0005-0000-0000-000003000000}"/>
    <cellStyle name="Note" xfId="3" builtinId="10"/>
  </cellStyles>
  <dxfs count="7">
    <dxf>
      <font>
        <strike val="0"/>
        <outline val="0"/>
        <shadow val="0"/>
        <u val="none"/>
        <vertAlign val="baseline"/>
        <sz val="10"/>
        <color auto="1"/>
        <name val="Calibri"/>
        <scheme val="minor"/>
      </font>
      <numFmt numFmtId="30" formatCode="@"/>
    </dxf>
    <dxf>
      <font>
        <strike val="0"/>
        <outline val="0"/>
        <shadow val="0"/>
        <u val="none"/>
        <vertAlign val="baseline"/>
        <sz val="10"/>
        <color auto="1"/>
        <name val="Calibri"/>
        <scheme val="minor"/>
      </font>
      <numFmt numFmtId="30" formatCode="@"/>
    </dxf>
    <dxf>
      <font>
        <b val="0"/>
        <i val="0"/>
        <strike val="0"/>
        <condense val="0"/>
        <extend val="0"/>
        <outline val="0"/>
        <shadow val="0"/>
        <u val="none"/>
        <vertAlign val="baseline"/>
        <sz val="10"/>
        <color auto="1"/>
        <name val="Calibri"/>
        <scheme val="minor"/>
      </font>
      <numFmt numFmtId="30" formatCode="@"/>
    </dxf>
    <dxf>
      <font>
        <b val="0"/>
        <i val="0"/>
        <strike val="0"/>
        <condense val="0"/>
        <extend val="0"/>
        <outline val="0"/>
        <shadow val="0"/>
        <u val="none"/>
        <vertAlign val="baseline"/>
        <sz val="10"/>
        <color auto="1"/>
        <name val="Calibri"/>
        <scheme val="minor"/>
      </font>
      <numFmt numFmtId="30" formatCode="@"/>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alignment horizontal="general" vertical="top" textRotation="0" wrapText="0" indent="0" justifyLastLine="0" shrinkToFit="0" readingOrder="0"/>
    </dxf>
    <dxf>
      <alignment horizontal="general" vertical="top" textRotation="0" wrapText="0" indent="0" justifyLastLine="0" shrinkToFit="0" readingOrder="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17"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4</xdr:row>
          <xdr:rowOff>47625</xdr:rowOff>
        </xdr:from>
        <xdr:to>
          <xdr:col>1</xdr:col>
          <xdr:colOff>2143125</xdr:colOff>
          <xdr:row>18</xdr:row>
          <xdr:rowOff>38100</xdr:rowOff>
        </xdr:to>
        <xdr:sp macro="" textlink="">
          <xdr:nvSpPr>
            <xdr:cNvPr id="1028" name="Object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hevron.sharepoint.com/sites/naspark/SPARK%20Library/Core%20PE%20GUP%20Template.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collab001-wfc.sp.chevron.net/sites/ITCLonEhub/networks/Shared%20Documents/L2%20Switch%20Config%20Generator.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tails"/>
      <sheetName val="Config Part 1"/>
      <sheetName val="Config Part 2"/>
      <sheetName val="Verification"/>
      <sheetName val="Version History"/>
      <sheetName val="Routers"/>
    </sheetNames>
    <sheetDataSet>
      <sheetData sheetId="0">
        <row r="25">
          <cell r="B25" t="str">
            <v>NA-US-HOU-B-BOC-PE1</v>
          </cell>
        </row>
        <row r="26">
          <cell r="B26" t="str">
            <v>139.65.224.100</v>
          </cell>
        </row>
        <row r="28">
          <cell r="B28" t="str">
            <v>xe-1/2/1</v>
          </cell>
        </row>
        <row r="29">
          <cell r="B29" t="str">
            <v>ae0</v>
          </cell>
        </row>
        <row r="30">
          <cell r="B30" t="str">
            <v>139.65.228.128/31</v>
          </cell>
        </row>
        <row r="33">
          <cell r="B33" t="e">
            <v>#NAME?</v>
          </cell>
        </row>
      </sheetData>
      <sheetData sheetId="1" refreshError="1"/>
      <sheetData sheetId="2" refreshError="1"/>
      <sheetData sheetId="3" refreshError="1"/>
      <sheetData sheetId="4" refreshError="1"/>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witch Details"/>
      <sheetName val="Base Config"/>
      <sheetName val="Uplink Config"/>
      <sheetName val="Etherchannel Notes"/>
      <sheetName val="L3 Config"/>
      <sheetName val="Cat3750 Notes"/>
    </sheetNames>
    <sheetDataSet>
      <sheetData sheetId="0">
        <row r="18">
          <cell r="B18" t="str">
            <v>ATY</v>
          </cell>
        </row>
        <row r="19">
          <cell r="B19" t="str">
            <v>GigabitEthernet</v>
          </cell>
        </row>
        <row r="21">
          <cell r="B21" t="str">
            <v>Other</v>
          </cell>
        </row>
      </sheetData>
      <sheetData sheetId="1" refreshError="1"/>
      <sheetData sheetId="2" refreshError="1"/>
      <sheetData sheetId="3" refreshError="1"/>
      <sheetData sheetId="4" refreshError="1"/>
      <sheetData sheetId="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4:C6" totalsRowShown="0">
  <autoFilter ref="A4:C6" xr:uid="{00000000-0009-0000-0100-000002000000}"/>
  <tableColumns count="3">
    <tableColumn id="1" xr3:uid="{00000000-0010-0000-0000-000001000000}" name="Command" dataDxfId="6"/>
    <tableColumn id="2" xr3:uid="{00000000-0010-0000-0000-000002000000}" name="What it does" dataDxfId="5"/>
    <tableColumn id="3" xr3:uid="{00000000-0010-0000-0000-000003000000}" name="Sample output"/>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2000000}" name="Table1" displayName="Table1" ref="A4:D20" totalsRowShown="0" dataDxfId="4">
  <tableColumns count="4">
    <tableColumn id="1" xr3:uid="{00000000-0010-0000-0200-000001000000}" name="Version" dataDxfId="3"/>
    <tableColumn id="4" xr3:uid="{00000000-0010-0000-0200-000004000000}" name="Date" dataDxfId="2"/>
    <tableColumn id="2" xr3:uid="{00000000-0010-0000-0200-000002000000}" name="Author" dataDxfId="1"/>
    <tableColumn id="3" xr3:uid="{00000000-0010-0000-0200-000003000000}" name="Comments" dataDxfId="0"/>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hyperlink" Target="https://chevron.sharepoint.com/sites/naspark/NNGW%20Core%20IP%20addressing%20plan.xlsx" TargetMode="External"/><Relationship Id="rId7" Type="http://schemas.openxmlformats.org/officeDocument/2006/relationships/oleObject" Target="../embeddings/Microsoft_Visio_2003-2010_Drawing.vsd"/><Relationship Id="rId2" Type="http://schemas.openxmlformats.org/officeDocument/2006/relationships/hyperlink" Target="https://chevron.sharepoint.com/sites/naspark/NNGW%20Core%20IP%20addressing%20plan.xlsx" TargetMode="External"/><Relationship Id="rId1" Type="http://schemas.openxmlformats.org/officeDocument/2006/relationships/hyperlink" Target="https://chevron.sharepoint.com/sites/naspark/NNGW%20Core%20IP%20addressing%20plan.xlsx"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25"/>
  <sheetViews>
    <sheetView tabSelected="1" workbookViewId="0">
      <selection activeCell="A2" sqref="A2"/>
    </sheetView>
  </sheetViews>
  <sheetFormatPr defaultColWidth="9.140625" defaultRowHeight="12.75" x14ac:dyDescent="0.2"/>
  <cols>
    <col min="1" max="1" width="38" style="10" customWidth="1"/>
    <col min="2" max="2" width="38.42578125" style="10" bestFit="1" customWidth="1"/>
    <col min="3" max="3" width="7.42578125" style="10" customWidth="1"/>
    <col min="4" max="4" width="45.85546875" style="10" bestFit="1" customWidth="1"/>
    <col min="5" max="5" width="38.28515625" style="10" customWidth="1"/>
    <col min="6" max="16384" width="9.140625" style="10"/>
  </cols>
  <sheetData>
    <row r="1" spans="1:1" ht="18.75" x14ac:dyDescent="0.3">
      <c r="A1" s="9" t="s">
        <v>142</v>
      </c>
    </row>
    <row r="2" spans="1:1" s="11" customFormat="1" x14ac:dyDescent="0.2">
      <c r="A2" s="11" t="s">
        <v>137</v>
      </c>
    </row>
    <row r="3" spans="1:1" s="11" customFormat="1" x14ac:dyDescent="0.2">
      <c r="A3" s="12" t="s">
        <v>0</v>
      </c>
    </row>
    <row r="4" spans="1:1" s="12" customFormat="1" x14ac:dyDescent="0.2">
      <c r="A4" s="12" t="s">
        <v>96</v>
      </c>
    </row>
    <row r="5" spans="1:1" s="12" customFormat="1" x14ac:dyDescent="0.2"/>
    <row r="6" spans="1:1" s="12" customFormat="1" x14ac:dyDescent="0.2"/>
    <row r="7" spans="1:1" s="12" customFormat="1" x14ac:dyDescent="0.2"/>
    <row r="20" spans="1:9" ht="13.5" thickBot="1" x14ac:dyDescent="0.25"/>
    <row r="21" spans="1:9" s="13" customFormat="1" x14ac:dyDescent="0.2">
      <c r="A21" s="13" t="s">
        <v>97</v>
      </c>
    </row>
    <row r="22" spans="1:9" s="15" customFormat="1" x14ac:dyDescent="0.2">
      <c r="A22" s="34" t="s">
        <v>136</v>
      </c>
      <c r="B22" s="18"/>
    </row>
    <row r="23" spans="1:9" x14ac:dyDescent="0.2">
      <c r="A23" s="17" t="s">
        <v>25</v>
      </c>
      <c r="B23" s="18"/>
      <c r="C23" s="28" t="s">
        <v>122</v>
      </c>
      <c r="D23" s="19" t="b">
        <f>isvalidloopbackaddress(LoopbackIP)</f>
        <v>0</v>
      </c>
      <c r="I23" s="14"/>
    </row>
    <row r="24" spans="1:9" x14ac:dyDescent="0.2">
      <c r="A24" s="17" t="s">
        <v>108</v>
      </c>
      <c r="B24" s="18"/>
      <c r="C24" s="28" t="s">
        <v>135</v>
      </c>
      <c r="D24" s="19" t="str">
        <f>FXP0IP&amp;C24</f>
        <v>/28</v>
      </c>
      <c r="E24" s="29" t="b">
        <f>isvalidIP(FXP0IP)</f>
        <v>0</v>
      </c>
      <c r="I24" s="14"/>
    </row>
    <row r="25" spans="1:9" x14ac:dyDescent="0.2">
      <c r="A25" s="17" t="s">
        <v>109</v>
      </c>
      <c r="B25" s="18"/>
      <c r="C25" s="19"/>
      <c r="D25" s="19"/>
      <c r="E25" s="29" t="b">
        <f>isvalidIP(FXP0IP)</f>
        <v>0</v>
      </c>
      <c r="I25" s="14"/>
    </row>
  </sheetData>
  <sheetProtection selectLockedCells="1"/>
  <phoneticPr fontId="1" type="noConversion"/>
  <dataValidations xWindow="420" yWindow="611" count="5">
    <dataValidation allowBlank="1" showErrorMessage="1" errorTitle="Invalid Loopback Address" error="Please check your loopback address is in the correct range" promptTitle="Loopback address" prompt="Enter a loopback address in the ranges:_x000a_139.65.224.0/24 - Americas_x000a_139.65.225.0/24 - EMEA_x000a_139.65.226.0/24 - Asia Pacific_x000a_(see spreadsheet for details)" sqref="C23" xr:uid="{00000000-0002-0000-0000-000001000000}"/>
    <dataValidation type="custom" allowBlank="1" showErrorMessage="1" errorTitle="Invalid Loopback Address" error="Please check your loopback address is in the correct range" promptTitle="Loopback address" prompt="Enter a loopback address in the ranges:_x000a_139.65.224.0/24 - Americas_x000a_139.65.225.0/24 - EMEA_x000a_139.65.226.0/24 - Asia Pacific_x000a_(see spreadsheet for details)" sqref="C24" xr:uid="{00000000-0002-0000-0000-000002000000}">
      <formula1>E24</formula1>
    </dataValidation>
    <dataValidation type="custom" allowBlank="1" showInputMessage="1" showErrorMessage="1" errorTitle="Invalid Loopback Address" error="Please check your loopback address is in the correct range" promptTitle="Loopback address" prompt="Enter a loopback address in the ranges:_x000a_139.65.0.0/26 - Internet routers_x000a_(see spreadsheet for details)" sqref="B23" xr:uid="{00000000-0002-0000-0000-000003000000}">
      <formula1>D23</formula1>
    </dataValidation>
    <dataValidation type="custom" allowBlank="1" showInputMessage="1" showErrorMessage="1" errorTitle="Invalid Address" error="Please check your address is in the correct range" promptTitle="Management address" prompt="Enter an address in the range 139.65.212.0/22_x000a_(see spreadsheet for details)" sqref="B24" xr:uid="{00000000-0002-0000-0000-000004000000}">
      <formula1>E24</formula1>
    </dataValidation>
    <dataValidation type="custom" allowBlank="1" showInputMessage="1" showErrorMessage="1" errorTitle="Invalid  Address" error="Please check your address is in the correct range" promptTitle="Gateway address" prompt="Enter the gateway address for the network management subnet_x000a_This is the VRRP address on the PEs for the management vlan_x000a_(see spreadsheet for details)" sqref="B25" xr:uid="{00000000-0002-0000-0000-000005000000}">
      <formula1>E25</formula1>
    </dataValidation>
  </dataValidations>
  <hyperlinks>
    <hyperlink ref="A23" r:id="rId1" xr:uid="{00000000-0004-0000-0000-000001000000}"/>
    <hyperlink ref="A24" r:id="rId2" display="Loopback IP address" xr:uid="{00000000-0004-0000-0000-000002000000}"/>
    <hyperlink ref="A25" r:id="rId3" display="Loopback IP address" xr:uid="{00000000-0004-0000-0000-000003000000}"/>
  </hyperlinks>
  <pageMargins left="0.75" right="0.75" top="1" bottom="1" header="0.5" footer="0.5"/>
  <pageSetup paperSize="9" orientation="portrait" horizontalDpi="4294967293" r:id="rId4"/>
  <headerFooter alignWithMargins="0"/>
  <drawing r:id="rId5"/>
  <legacyDrawing r:id="rId6"/>
  <oleObjects>
    <mc:AlternateContent xmlns:mc="http://schemas.openxmlformats.org/markup-compatibility/2006">
      <mc:Choice Requires="x14">
        <oleObject progId="Visio.Drawing.11" shapeId="1028" r:id="rId7">
          <objectPr defaultSize="0" autoPict="0" r:id="rId8">
            <anchor moveWithCells="1">
              <from>
                <xdr:col>0</xdr:col>
                <xdr:colOff>57150</xdr:colOff>
                <xdr:row>4</xdr:row>
                <xdr:rowOff>47625</xdr:rowOff>
              </from>
              <to>
                <xdr:col>1</xdr:col>
                <xdr:colOff>2143125</xdr:colOff>
                <xdr:row>18</xdr:row>
                <xdr:rowOff>38100</xdr:rowOff>
              </to>
            </anchor>
          </objectPr>
        </oleObject>
      </mc:Choice>
      <mc:Fallback>
        <oleObject progId="Visio.Drawing.11" shapeId="1028" r:id="rId7"/>
      </mc:Fallback>
    </mc:AlternateContent>
  </oleObjec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C000"/>
  </sheetPr>
  <dimension ref="A1:D83"/>
  <sheetViews>
    <sheetView topLeftCell="A28" workbookViewId="0">
      <selection activeCell="A45" sqref="A45"/>
    </sheetView>
  </sheetViews>
  <sheetFormatPr defaultColWidth="9.140625" defaultRowHeight="12.75" x14ac:dyDescent="0.2"/>
  <cols>
    <col min="1" max="1" width="112.140625" style="16" customWidth="1"/>
    <col min="2" max="3" width="9.140625" style="20"/>
    <col min="4" max="4" width="11.7109375" style="20" customWidth="1"/>
    <col min="5" max="16384" width="9.140625" style="16"/>
  </cols>
  <sheetData>
    <row r="1" spans="1:1" ht="23.25" x14ac:dyDescent="0.35">
      <c r="A1" s="33" t="s">
        <v>128</v>
      </c>
    </row>
    <row r="2" spans="1:1" ht="15.75" x14ac:dyDescent="0.25">
      <c r="A2" s="26" t="s">
        <v>130</v>
      </c>
    </row>
    <row r="3" spans="1:1" ht="15.75" x14ac:dyDescent="0.25">
      <c r="A3" s="26" t="s">
        <v>133</v>
      </c>
    </row>
    <row r="4" spans="1:1" x14ac:dyDescent="0.2">
      <c r="A4" s="16" t="s">
        <v>93</v>
      </c>
    </row>
    <row r="5" spans="1:1" x14ac:dyDescent="0.2">
      <c r="A5" s="16" t="s">
        <v>112</v>
      </c>
    </row>
    <row r="6" spans="1:1" x14ac:dyDescent="0.2">
      <c r="A6" s="16" t="s">
        <v>94</v>
      </c>
    </row>
    <row r="7" spans="1:1" x14ac:dyDescent="0.2">
      <c r="A7" s="16" t="s">
        <v>113</v>
      </c>
    </row>
    <row r="8" spans="1:1" x14ac:dyDescent="0.2">
      <c r="A8" s="16" t="s">
        <v>95</v>
      </c>
    </row>
    <row r="9" spans="1:1" x14ac:dyDescent="0.2">
      <c r="A9" s="16" t="s">
        <v>114</v>
      </c>
    </row>
    <row r="10" spans="1:1" x14ac:dyDescent="0.2">
      <c r="A10" s="27" t="str">
        <f>"                        address "&amp;FXP0IPMASK&amp;" {"</f>
        <v xml:space="preserve">                        address /28 {</v>
      </c>
    </row>
    <row r="11" spans="1:1" x14ac:dyDescent="0.2">
      <c r="A11" s="16" t="s">
        <v>115</v>
      </c>
    </row>
    <row r="12" spans="1:1" x14ac:dyDescent="0.2">
      <c r="A12" s="16" t="s">
        <v>76</v>
      </c>
    </row>
    <row r="13" spans="1:1" x14ac:dyDescent="0.2">
      <c r="A13" s="16" t="s">
        <v>59</v>
      </c>
    </row>
    <row r="14" spans="1:1" x14ac:dyDescent="0.2">
      <c r="A14" s="16" t="s">
        <v>60</v>
      </c>
    </row>
    <row r="15" spans="1:1" x14ac:dyDescent="0.2">
      <c r="A15" s="16" t="s">
        <v>34</v>
      </c>
    </row>
    <row r="16" spans="1:1" x14ac:dyDescent="0.2">
      <c r="A16" s="16" t="s">
        <v>35</v>
      </c>
    </row>
    <row r="17" spans="1:1" x14ac:dyDescent="0.2">
      <c r="A17" s="16" t="s">
        <v>116</v>
      </c>
    </row>
    <row r="18" spans="1:1" x14ac:dyDescent="0.2">
      <c r="A18" s="16" t="s">
        <v>117</v>
      </c>
    </row>
    <row r="19" spans="1:1" x14ac:dyDescent="0.2">
      <c r="A19" s="27" t="str">
        <f>"                route 139.65.136.0/22 next-hop "&amp;Gateway&amp;" ;"</f>
        <v xml:space="preserve">                route 139.65.136.0/22 next-hop  ;</v>
      </c>
    </row>
    <row r="20" spans="1:1" x14ac:dyDescent="0.2">
      <c r="A20" s="27" t="str">
        <f>"                route 139.65.140.0/22 next-hop "&amp;Gateway&amp;" ;"</f>
        <v xml:space="preserve">                route 139.65.140.0/22 next-hop  ;</v>
      </c>
    </row>
    <row r="21" spans="1:1" x14ac:dyDescent="0.2">
      <c r="A21" s="16" t="s">
        <v>34</v>
      </c>
    </row>
    <row r="22" spans="1:1" x14ac:dyDescent="0.2">
      <c r="A22" s="16" t="s">
        <v>35</v>
      </c>
    </row>
    <row r="23" spans="1:1" x14ac:dyDescent="0.2">
      <c r="A23" s="16" t="s">
        <v>30</v>
      </c>
    </row>
    <row r="24" spans="1:1" x14ac:dyDescent="0.2">
      <c r="A24" s="16" t="s">
        <v>42</v>
      </c>
    </row>
    <row r="25" spans="1:1" x14ac:dyDescent="0.2">
      <c r="A25" s="16" t="s">
        <v>126</v>
      </c>
    </row>
    <row r="26" spans="1:1" x14ac:dyDescent="0.2">
      <c r="A26" s="16" t="s">
        <v>26</v>
      </c>
    </row>
    <row r="27" spans="1:1" x14ac:dyDescent="0.2">
      <c r="A27" s="27" t="str">
        <f>"    host-name "&amp;Hostname&amp;";"</f>
        <v xml:space="preserve">    host-name ;</v>
      </c>
    </row>
    <row r="28" spans="1:1" x14ac:dyDescent="0.2">
      <c r="A28" s="16" t="s">
        <v>27</v>
      </c>
    </row>
    <row r="29" spans="1:1" x14ac:dyDescent="0.2">
      <c r="A29" s="27" t="str">
        <f>"    backup-router "&amp;Gateway&amp;" destination 139.65.136.0/22;"</f>
        <v xml:space="preserve">    backup-router  destination 139.65.136.0/22;</v>
      </c>
    </row>
    <row r="30" spans="1:1" x14ac:dyDescent="0.2">
      <c r="A30" s="27" t="str">
        <f>"    backup-router "&amp;Gateway&amp;" destination 139.65.140.0/22;"</f>
        <v xml:space="preserve">    backup-router  destination 139.65.140.0/22;</v>
      </c>
    </row>
    <row r="31" spans="1:1" x14ac:dyDescent="0.2">
      <c r="A31" s="16" t="s">
        <v>28</v>
      </c>
    </row>
    <row r="32" spans="1:1" x14ac:dyDescent="0.2">
      <c r="A32" s="16" t="s">
        <v>134</v>
      </c>
    </row>
    <row r="33" spans="1:1" x14ac:dyDescent="0.2">
      <c r="A33" s="16" t="s">
        <v>30</v>
      </c>
    </row>
    <row r="34" spans="1:1" x14ac:dyDescent="0.2">
      <c r="A34" s="16" t="s">
        <v>31</v>
      </c>
    </row>
    <row r="35" spans="1:1" x14ac:dyDescent="0.2">
      <c r="A35" s="16" t="s">
        <v>107</v>
      </c>
    </row>
    <row r="36" spans="1:1" x14ac:dyDescent="0.2">
      <c r="A36" s="16" t="s">
        <v>110</v>
      </c>
    </row>
    <row r="37" spans="1:1" x14ac:dyDescent="0.2">
      <c r="A37" s="16" t="s">
        <v>32</v>
      </c>
    </row>
    <row r="38" spans="1:1" x14ac:dyDescent="0.2">
      <c r="A38" s="16" t="s">
        <v>33</v>
      </c>
    </row>
    <row r="39" spans="1:1" x14ac:dyDescent="0.2">
      <c r="A39" s="16" t="s">
        <v>111</v>
      </c>
    </row>
    <row r="40" spans="1:1" x14ac:dyDescent="0.2">
      <c r="A40" s="16" t="s">
        <v>34</v>
      </c>
    </row>
    <row r="41" spans="1:1" x14ac:dyDescent="0.2">
      <c r="A41" s="16" t="s">
        <v>35</v>
      </c>
    </row>
    <row r="42" spans="1:1" x14ac:dyDescent="0.2">
      <c r="A42" s="16" t="s">
        <v>36</v>
      </c>
    </row>
    <row r="43" spans="1:1" x14ac:dyDescent="0.2">
      <c r="A43" s="16" t="s">
        <v>32</v>
      </c>
    </row>
    <row r="44" spans="1:1" x14ac:dyDescent="0.2">
      <c r="A44" s="16" t="s">
        <v>33</v>
      </c>
    </row>
    <row r="45" spans="1:1" x14ac:dyDescent="0.2">
      <c r="A45" s="16" t="s">
        <v>139</v>
      </c>
    </row>
    <row r="46" spans="1:1" x14ac:dyDescent="0.2">
      <c r="A46" s="16" t="s">
        <v>34</v>
      </c>
    </row>
    <row r="47" spans="1:1" x14ac:dyDescent="0.2">
      <c r="A47" s="16" t="s">
        <v>35</v>
      </c>
    </row>
    <row r="48" spans="1:1" x14ac:dyDescent="0.2">
      <c r="A48" s="16" t="s">
        <v>30</v>
      </c>
    </row>
    <row r="49" spans="1:1" x14ac:dyDescent="0.2">
      <c r="A49" s="16" t="s">
        <v>37</v>
      </c>
    </row>
    <row r="50" spans="1:1" x14ac:dyDescent="0.2">
      <c r="A50" s="16" t="s">
        <v>38</v>
      </c>
    </row>
    <row r="51" spans="1:1" x14ac:dyDescent="0.2">
      <c r="A51" s="16" t="s">
        <v>39</v>
      </c>
    </row>
    <row r="52" spans="1:1" x14ac:dyDescent="0.2">
      <c r="A52" s="16" t="s">
        <v>40</v>
      </c>
    </row>
    <row r="53" spans="1:1" x14ac:dyDescent="0.2">
      <c r="A53" s="16" t="s">
        <v>35</v>
      </c>
    </row>
    <row r="54" spans="1:1" x14ac:dyDescent="0.2">
      <c r="A54" s="16" t="s">
        <v>30</v>
      </c>
    </row>
    <row r="55" spans="1:1" x14ac:dyDescent="0.2">
      <c r="A55" s="16" t="s">
        <v>41</v>
      </c>
    </row>
    <row r="56" spans="1:1" x14ac:dyDescent="0.2">
      <c r="A56" s="16" t="s">
        <v>42</v>
      </c>
    </row>
    <row r="57" spans="1:1" x14ac:dyDescent="0.2">
      <c r="A57" s="16" t="s">
        <v>43</v>
      </c>
    </row>
    <row r="58" spans="1:1" x14ac:dyDescent="0.2">
      <c r="A58" s="16" t="s">
        <v>47</v>
      </c>
    </row>
    <row r="59" spans="1:1" x14ac:dyDescent="0.2">
      <c r="A59" s="16" t="s">
        <v>48</v>
      </c>
    </row>
    <row r="60" spans="1:1" x14ac:dyDescent="0.2">
      <c r="A60" s="16" t="s">
        <v>49</v>
      </c>
    </row>
    <row r="61" spans="1:1" x14ac:dyDescent="0.2">
      <c r="A61" s="16" t="s">
        <v>35</v>
      </c>
    </row>
    <row r="62" spans="1:1" x14ac:dyDescent="0.2">
      <c r="A62" s="16" t="s">
        <v>30</v>
      </c>
    </row>
    <row r="63" spans="1:1" x14ac:dyDescent="0.2">
      <c r="A63" s="16" t="s">
        <v>127</v>
      </c>
    </row>
    <row r="64" spans="1:1" x14ac:dyDescent="0.2">
      <c r="A64" s="16" t="s">
        <v>42</v>
      </c>
    </row>
    <row r="65" spans="1:1" x14ac:dyDescent="0.2">
      <c r="A65" s="16" t="s">
        <v>50</v>
      </c>
    </row>
    <row r="66" spans="1:1" x14ac:dyDescent="0.2">
      <c r="A66" s="16" t="s">
        <v>51</v>
      </c>
    </row>
    <row r="67" spans="1:1" x14ac:dyDescent="0.2">
      <c r="A67" s="16" t="s">
        <v>52</v>
      </c>
    </row>
    <row r="68" spans="1:1" x14ac:dyDescent="0.2">
      <c r="A68" s="16" t="s">
        <v>53</v>
      </c>
    </row>
    <row r="69" spans="1:1" x14ac:dyDescent="0.2">
      <c r="A69" s="27" t="str">
        <f>"                address "&amp;LoopbackIP&amp;"/32;"</f>
        <v xml:space="preserve">                address /32;</v>
      </c>
    </row>
    <row r="70" spans="1:1" x14ac:dyDescent="0.2">
      <c r="A70" s="16" t="s">
        <v>34</v>
      </c>
    </row>
    <row r="71" spans="1:1" x14ac:dyDescent="0.2">
      <c r="A71" s="16" t="s">
        <v>35</v>
      </c>
    </row>
    <row r="72" spans="1:1" x14ac:dyDescent="0.2">
      <c r="A72" s="16" t="s">
        <v>30</v>
      </c>
    </row>
    <row r="73" spans="1:1" x14ac:dyDescent="0.2">
      <c r="A73" s="16" t="s">
        <v>42</v>
      </c>
    </row>
    <row r="74" spans="1:1" x14ac:dyDescent="0.2">
      <c r="A74" s="16" t="s">
        <v>88</v>
      </c>
    </row>
    <row r="75" spans="1:1" x14ac:dyDescent="0.2">
      <c r="A75" s="16" t="s">
        <v>89</v>
      </c>
    </row>
    <row r="76" spans="1:1" x14ac:dyDescent="0.2">
      <c r="A76" s="27" t="str">
        <f>"    router-id "&amp;LoopbackIP&amp;";"</f>
        <v xml:space="preserve">    router-id ;</v>
      </c>
    </row>
    <row r="77" spans="1:1" x14ac:dyDescent="0.2">
      <c r="A77" s="16" t="s">
        <v>42</v>
      </c>
    </row>
    <row r="78" spans="1:1" x14ac:dyDescent="0.2">
      <c r="A78" s="16" t="s">
        <v>90</v>
      </c>
    </row>
    <row r="79" spans="1:1" x14ac:dyDescent="0.2">
      <c r="A79" s="16" t="s">
        <v>91</v>
      </c>
    </row>
    <row r="80" spans="1:1" x14ac:dyDescent="0.2">
      <c r="A80" s="16" t="s">
        <v>92</v>
      </c>
    </row>
    <row r="81" spans="1:1" x14ac:dyDescent="0.2">
      <c r="A81" s="16" t="s">
        <v>123</v>
      </c>
    </row>
    <row r="82" spans="1:1" x14ac:dyDescent="0.2">
      <c r="A82" s="16" t="s">
        <v>30</v>
      </c>
    </row>
    <row r="83" spans="1:1" x14ac:dyDescent="0.2">
      <c r="A83" s="16" t="s">
        <v>42</v>
      </c>
    </row>
  </sheetData>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83EC3-DB6C-4BE0-876B-041726C7E5F4}">
  <sheetPr codeName="Sheet6">
    <tabColor rgb="FFFF0000"/>
  </sheetPr>
  <dimension ref="A1:D106"/>
  <sheetViews>
    <sheetView topLeftCell="A55" workbookViewId="0">
      <selection activeCell="A64" sqref="A64"/>
    </sheetView>
  </sheetViews>
  <sheetFormatPr defaultColWidth="9.140625" defaultRowHeight="12.75" x14ac:dyDescent="0.2"/>
  <cols>
    <col min="1" max="1" width="112.140625" style="16" customWidth="1"/>
    <col min="2" max="3" width="9.140625" style="20"/>
    <col min="4" max="4" width="11.7109375" style="20" customWidth="1"/>
    <col min="5" max="16384" width="9.140625" style="16"/>
  </cols>
  <sheetData>
    <row r="1" spans="1:1" ht="23.25" x14ac:dyDescent="0.35">
      <c r="A1" s="33" t="s">
        <v>125</v>
      </c>
    </row>
    <row r="2" spans="1:1" s="20" customFormat="1" ht="15.75" x14ac:dyDescent="0.25">
      <c r="A2" s="26" t="s">
        <v>130</v>
      </c>
    </row>
    <row r="3" spans="1:1" s="20" customFormat="1" ht="15.75" x14ac:dyDescent="0.25">
      <c r="A3" s="26" t="s">
        <v>133</v>
      </c>
    </row>
    <row r="4" spans="1:1" s="20" customFormat="1" x14ac:dyDescent="0.2">
      <c r="A4" s="16" t="s">
        <v>93</v>
      </c>
    </row>
    <row r="5" spans="1:1" s="20" customFormat="1" x14ac:dyDescent="0.2">
      <c r="A5" s="16" t="s">
        <v>112</v>
      </c>
    </row>
    <row r="6" spans="1:1" s="20" customFormat="1" x14ac:dyDescent="0.2">
      <c r="A6" s="16" t="s">
        <v>94</v>
      </c>
    </row>
    <row r="7" spans="1:1" s="20" customFormat="1" x14ac:dyDescent="0.2">
      <c r="A7" s="16" t="s">
        <v>113</v>
      </c>
    </row>
    <row r="8" spans="1:1" s="20" customFormat="1" x14ac:dyDescent="0.2">
      <c r="A8" s="16" t="s">
        <v>95</v>
      </c>
    </row>
    <row r="9" spans="1:1" s="20" customFormat="1" x14ac:dyDescent="0.2">
      <c r="A9" s="16" t="s">
        <v>114</v>
      </c>
    </row>
    <row r="10" spans="1:1" s="20" customFormat="1" x14ac:dyDescent="0.2">
      <c r="A10" s="27" t="str">
        <f>"                        address "&amp;FXP0IPMASK&amp;" {"</f>
        <v xml:space="preserve">                        address /28 {</v>
      </c>
    </row>
    <row r="11" spans="1:1" s="20" customFormat="1" x14ac:dyDescent="0.2">
      <c r="A11" s="16" t="s">
        <v>115</v>
      </c>
    </row>
    <row r="12" spans="1:1" s="20" customFormat="1" x14ac:dyDescent="0.2">
      <c r="A12" s="16" t="s">
        <v>76</v>
      </c>
    </row>
    <row r="13" spans="1:1" s="20" customFormat="1" x14ac:dyDescent="0.2">
      <c r="A13" s="16" t="s">
        <v>59</v>
      </c>
    </row>
    <row r="14" spans="1:1" s="20" customFormat="1" x14ac:dyDescent="0.2">
      <c r="A14" s="16" t="s">
        <v>60</v>
      </c>
    </row>
    <row r="15" spans="1:1" s="20" customFormat="1" x14ac:dyDescent="0.2">
      <c r="A15" s="16" t="s">
        <v>34</v>
      </c>
    </row>
    <row r="16" spans="1:1" s="20" customFormat="1" x14ac:dyDescent="0.2">
      <c r="A16" s="16" t="s">
        <v>35</v>
      </c>
    </row>
    <row r="17" spans="1:1" s="20" customFormat="1" x14ac:dyDescent="0.2">
      <c r="A17" s="16" t="s">
        <v>116</v>
      </c>
    </row>
    <row r="18" spans="1:1" s="20" customFormat="1" x14ac:dyDescent="0.2">
      <c r="A18" s="16" t="s">
        <v>117</v>
      </c>
    </row>
    <row r="19" spans="1:1" s="20" customFormat="1" x14ac:dyDescent="0.2">
      <c r="A19" s="27" t="str">
        <f>"                route 139.65.136.0/22 next-hop "&amp;Gateway&amp;" ;"</f>
        <v xml:space="preserve">                route 139.65.136.0/22 next-hop  ;</v>
      </c>
    </row>
    <row r="20" spans="1:1" s="20" customFormat="1" x14ac:dyDescent="0.2">
      <c r="A20" s="27" t="str">
        <f>"                route 139.65.140.0/22 next-hop "&amp;Gateway&amp;" ;"</f>
        <v xml:space="preserve">                route 139.65.140.0/22 next-hop  ;</v>
      </c>
    </row>
    <row r="21" spans="1:1" s="20" customFormat="1" x14ac:dyDescent="0.2">
      <c r="A21" s="16" t="s">
        <v>34</v>
      </c>
    </row>
    <row r="22" spans="1:1" s="20" customFormat="1" x14ac:dyDescent="0.2">
      <c r="A22" s="16" t="s">
        <v>35</v>
      </c>
    </row>
    <row r="23" spans="1:1" s="20" customFormat="1" x14ac:dyDescent="0.2">
      <c r="A23" s="16" t="s">
        <v>30</v>
      </c>
    </row>
    <row r="24" spans="1:1" s="20" customFormat="1" x14ac:dyDescent="0.2">
      <c r="A24" s="16" t="s">
        <v>118</v>
      </c>
    </row>
    <row r="25" spans="1:1" s="20" customFormat="1" x14ac:dyDescent="0.2">
      <c r="A25" s="16" t="s">
        <v>94</v>
      </c>
    </row>
    <row r="26" spans="1:1" s="20" customFormat="1" x14ac:dyDescent="0.2">
      <c r="A26" s="16" t="s">
        <v>113</v>
      </c>
    </row>
    <row r="27" spans="1:1" s="20" customFormat="1" x14ac:dyDescent="0.2">
      <c r="A27" s="16" t="s">
        <v>95</v>
      </c>
    </row>
    <row r="28" spans="1:1" s="20" customFormat="1" x14ac:dyDescent="0.2">
      <c r="A28" s="16" t="s">
        <v>114</v>
      </c>
    </row>
    <row r="29" spans="1:1" s="20" customFormat="1" x14ac:dyDescent="0.2">
      <c r="A29" s="27" t="str">
        <f>"                        address "&amp;FXP0IPMASK&amp;" {"</f>
        <v xml:space="preserve">                        address /28 {</v>
      </c>
    </row>
    <row r="30" spans="1:1" s="20" customFormat="1" x14ac:dyDescent="0.2">
      <c r="A30" s="16" t="s">
        <v>115</v>
      </c>
    </row>
    <row r="31" spans="1:1" s="20" customFormat="1" x14ac:dyDescent="0.2">
      <c r="A31" s="16" t="s">
        <v>76</v>
      </c>
    </row>
    <row r="32" spans="1:1" s="20" customFormat="1" x14ac:dyDescent="0.2">
      <c r="A32" s="16" t="s">
        <v>59</v>
      </c>
    </row>
    <row r="33" spans="1:1" s="20" customFormat="1" x14ac:dyDescent="0.2">
      <c r="A33" s="16" t="s">
        <v>60</v>
      </c>
    </row>
    <row r="34" spans="1:1" s="20" customFormat="1" x14ac:dyDescent="0.2">
      <c r="A34" s="16" t="s">
        <v>34</v>
      </c>
    </row>
    <row r="35" spans="1:1" s="20" customFormat="1" x14ac:dyDescent="0.2">
      <c r="A35" s="16" t="s">
        <v>35</v>
      </c>
    </row>
    <row r="36" spans="1:1" s="20" customFormat="1" x14ac:dyDescent="0.2">
      <c r="A36" s="16" t="s">
        <v>116</v>
      </c>
    </row>
    <row r="37" spans="1:1" s="20" customFormat="1" x14ac:dyDescent="0.2">
      <c r="A37" s="16" t="s">
        <v>117</v>
      </c>
    </row>
    <row r="38" spans="1:1" s="20" customFormat="1" x14ac:dyDescent="0.2">
      <c r="A38" s="27" t="str">
        <f>"                route 139.65.136.0/22 next-hop "&amp;Gateway&amp;" ;"</f>
        <v xml:space="preserve">                route 139.65.136.0/22 next-hop  ;</v>
      </c>
    </row>
    <row r="39" spans="1:1" s="20" customFormat="1" x14ac:dyDescent="0.2">
      <c r="A39" s="27" t="str">
        <f>"                route 139.65.140.0/22 next-hop "&amp;Gateway&amp;" ;"</f>
        <v xml:space="preserve">                route 139.65.140.0/22 next-hop  ;</v>
      </c>
    </row>
    <row r="40" spans="1:1" s="20" customFormat="1" x14ac:dyDescent="0.2">
      <c r="A40" s="16" t="s">
        <v>34</v>
      </c>
    </row>
    <row r="41" spans="1:1" s="20" customFormat="1" x14ac:dyDescent="0.2">
      <c r="A41" s="16" t="s">
        <v>35</v>
      </c>
    </row>
    <row r="42" spans="1:1" s="20" customFormat="1" x14ac:dyDescent="0.2">
      <c r="A42" s="16" t="s">
        <v>30</v>
      </c>
    </row>
    <row r="43" spans="1:1" s="20" customFormat="1" x14ac:dyDescent="0.2">
      <c r="A43" s="16" t="s">
        <v>42</v>
      </c>
    </row>
    <row r="44" spans="1:1" s="20" customFormat="1" x14ac:dyDescent="0.2">
      <c r="A44" s="16" t="s">
        <v>119</v>
      </c>
    </row>
    <row r="45" spans="1:1" s="20" customFormat="1" x14ac:dyDescent="0.2">
      <c r="A45" s="16" t="s">
        <v>26</v>
      </c>
    </row>
    <row r="46" spans="1:1" s="20" customFormat="1" x14ac:dyDescent="0.2">
      <c r="A46" s="27" t="str">
        <f>"    host-name "&amp;Hostname&amp;";"</f>
        <v xml:space="preserve">    host-name ;</v>
      </c>
    </row>
    <row r="47" spans="1:1" s="20" customFormat="1" x14ac:dyDescent="0.2">
      <c r="A47" s="16" t="s">
        <v>27</v>
      </c>
    </row>
    <row r="48" spans="1:1" s="20" customFormat="1" x14ac:dyDescent="0.2">
      <c r="A48" s="27" t="str">
        <f>"    backup-router "&amp;Gateway&amp;" destination 139.65.136.0/22;"</f>
        <v xml:space="preserve">    backup-router  destination 139.65.136.0/22;</v>
      </c>
    </row>
    <row r="49" spans="1:1" s="20" customFormat="1" x14ac:dyDescent="0.2">
      <c r="A49" s="27" t="str">
        <f>"    backup-router "&amp;Gateway&amp;" destination 139.65.140.0/22;"</f>
        <v xml:space="preserve">    backup-router  destination 139.65.140.0/22;</v>
      </c>
    </row>
    <row r="50" spans="1:1" s="20" customFormat="1" x14ac:dyDescent="0.2">
      <c r="A50" s="16" t="s">
        <v>28</v>
      </c>
    </row>
    <row r="51" spans="1:1" s="20" customFormat="1" x14ac:dyDescent="0.2">
      <c r="A51" s="16" t="s">
        <v>29</v>
      </c>
    </row>
    <row r="52" spans="1:1" s="20" customFormat="1" x14ac:dyDescent="0.2">
      <c r="A52" s="16" t="s">
        <v>30</v>
      </c>
    </row>
    <row r="53" spans="1:1" s="20" customFormat="1" x14ac:dyDescent="0.2">
      <c r="A53" s="16" t="s">
        <v>31</v>
      </c>
    </row>
    <row r="54" spans="1:1" s="20" customFormat="1" x14ac:dyDescent="0.2">
      <c r="A54" s="16" t="s">
        <v>107</v>
      </c>
    </row>
    <row r="55" spans="1:1" s="20" customFormat="1" x14ac:dyDescent="0.2">
      <c r="A55" s="16" t="s">
        <v>110</v>
      </c>
    </row>
    <row r="56" spans="1:1" s="20" customFormat="1" x14ac:dyDescent="0.2">
      <c r="A56" s="16" t="s">
        <v>32</v>
      </c>
    </row>
    <row r="57" spans="1:1" s="20" customFormat="1" x14ac:dyDescent="0.2">
      <c r="A57" s="16" t="s">
        <v>33</v>
      </c>
    </row>
    <row r="58" spans="1:1" s="20" customFormat="1" x14ac:dyDescent="0.2">
      <c r="A58" s="16" t="s">
        <v>111</v>
      </c>
    </row>
    <row r="59" spans="1:1" s="20" customFormat="1" x14ac:dyDescent="0.2">
      <c r="A59" s="16" t="s">
        <v>34</v>
      </c>
    </row>
    <row r="60" spans="1:1" s="20" customFormat="1" x14ac:dyDescent="0.2">
      <c r="A60" s="16" t="s">
        <v>35</v>
      </c>
    </row>
    <row r="61" spans="1:1" s="20" customFormat="1" x14ac:dyDescent="0.2">
      <c r="A61" s="16" t="s">
        <v>36</v>
      </c>
    </row>
    <row r="62" spans="1:1" s="20" customFormat="1" x14ac:dyDescent="0.2">
      <c r="A62" s="16" t="s">
        <v>32</v>
      </c>
    </row>
    <row r="63" spans="1:1" s="20" customFormat="1" x14ac:dyDescent="0.2">
      <c r="A63" s="16" t="s">
        <v>33</v>
      </c>
    </row>
    <row r="64" spans="1:1" s="20" customFormat="1" x14ac:dyDescent="0.2">
      <c r="A64" s="16" t="s">
        <v>139</v>
      </c>
    </row>
    <row r="65" spans="1:1" s="20" customFormat="1" x14ac:dyDescent="0.2">
      <c r="A65" s="16" t="s">
        <v>34</v>
      </c>
    </row>
    <row r="66" spans="1:1" s="20" customFormat="1" x14ac:dyDescent="0.2">
      <c r="A66" s="16" t="s">
        <v>35</v>
      </c>
    </row>
    <row r="67" spans="1:1" s="20" customFormat="1" x14ac:dyDescent="0.2">
      <c r="A67" s="16" t="s">
        <v>30</v>
      </c>
    </row>
    <row r="68" spans="1:1" s="20" customFormat="1" x14ac:dyDescent="0.2">
      <c r="A68" s="16" t="s">
        <v>37</v>
      </c>
    </row>
    <row r="69" spans="1:1" s="20" customFormat="1" x14ac:dyDescent="0.2">
      <c r="A69" s="16" t="s">
        <v>38</v>
      </c>
    </row>
    <row r="70" spans="1:1" s="20" customFormat="1" x14ac:dyDescent="0.2">
      <c r="A70" s="16" t="s">
        <v>39</v>
      </c>
    </row>
    <row r="71" spans="1:1" s="20" customFormat="1" x14ac:dyDescent="0.2">
      <c r="A71" s="16" t="s">
        <v>40</v>
      </c>
    </row>
    <row r="72" spans="1:1" s="20" customFormat="1" x14ac:dyDescent="0.2">
      <c r="A72" s="16" t="s">
        <v>35</v>
      </c>
    </row>
    <row r="73" spans="1:1" s="20" customFormat="1" x14ac:dyDescent="0.2">
      <c r="A73" s="16" t="s">
        <v>30</v>
      </c>
    </row>
    <row r="74" spans="1:1" s="20" customFormat="1" x14ac:dyDescent="0.2">
      <c r="A74" s="16" t="s">
        <v>41</v>
      </c>
    </row>
    <row r="75" spans="1:1" s="20" customFormat="1" x14ac:dyDescent="0.2">
      <c r="A75" s="16" t="s">
        <v>42</v>
      </c>
    </row>
    <row r="76" spans="1:1" s="20" customFormat="1" x14ac:dyDescent="0.2">
      <c r="A76" s="16" t="s">
        <v>43</v>
      </c>
    </row>
    <row r="77" spans="1:1" s="20" customFormat="1" x14ac:dyDescent="0.2">
      <c r="A77" s="16" t="s">
        <v>44</v>
      </c>
    </row>
    <row r="78" spans="1:1" s="20" customFormat="1" x14ac:dyDescent="0.2">
      <c r="A78" s="16" t="s">
        <v>45</v>
      </c>
    </row>
    <row r="79" spans="1:1" s="20" customFormat="1" x14ac:dyDescent="0.2">
      <c r="A79" s="16" t="s">
        <v>46</v>
      </c>
    </row>
    <row r="80" spans="1:1" s="20" customFormat="1" x14ac:dyDescent="0.2">
      <c r="A80" s="16" t="s">
        <v>30</v>
      </c>
    </row>
    <row r="81" spans="1:1" s="20" customFormat="1" x14ac:dyDescent="0.2">
      <c r="A81" s="16" t="s">
        <v>47</v>
      </c>
    </row>
    <row r="82" spans="1:1" s="20" customFormat="1" x14ac:dyDescent="0.2">
      <c r="A82" s="16" t="s">
        <v>48</v>
      </c>
    </row>
    <row r="83" spans="1:1" s="20" customFormat="1" x14ac:dyDescent="0.2">
      <c r="A83" s="16" t="s">
        <v>49</v>
      </c>
    </row>
    <row r="84" spans="1:1" s="20" customFormat="1" x14ac:dyDescent="0.2">
      <c r="A84" s="16" t="s">
        <v>35</v>
      </c>
    </row>
    <row r="85" spans="1:1" s="20" customFormat="1" x14ac:dyDescent="0.2">
      <c r="A85" s="16" t="s">
        <v>30</v>
      </c>
    </row>
    <row r="86" spans="1:1" s="20" customFormat="1" x14ac:dyDescent="0.2">
      <c r="A86" s="16" t="s">
        <v>127</v>
      </c>
    </row>
    <row r="87" spans="1:1" s="20" customFormat="1" x14ac:dyDescent="0.2">
      <c r="A87" s="16" t="s">
        <v>42</v>
      </c>
    </row>
    <row r="88" spans="1:1" s="20" customFormat="1" x14ac:dyDescent="0.2">
      <c r="A88" s="16" t="s">
        <v>50</v>
      </c>
    </row>
    <row r="89" spans="1:1" s="20" customFormat="1" x14ac:dyDescent="0.2">
      <c r="A89" s="16" t="s">
        <v>51</v>
      </c>
    </row>
    <row r="90" spans="1:1" s="20" customFormat="1" x14ac:dyDescent="0.2">
      <c r="A90" s="16" t="s">
        <v>52</v>
      </c>
    </row>
    <row r="91" spans="1:1" s="20" customFormat="1" x14ac:dyDescent="0.2">
      <c r="A91" s="16" t="s">
        <v>53</v>
      </c>
    </row>
    <row r="92" spans="1:1" s="20" customFormat="1" x14ac:dyDescent="0.2">
      <c r="A92" s="27" t="str">
        <f>"                address "&amp;LoopbackIP&amp;"/32;"</f>
        <v xml:space="preserve">                address /32;</v>
      </c>
    </row>
    <row r="93" spans="1:1" s="20" customFormat="1" x14ac:dyDescent="0.2">
      <c r="A93" s="16" t="s">
        <v>34</v>
      </c>
    </row>
    <row r="94" spans="1:1" s="20" customFormat="1" x14ac:dyDescent="0.2">
      <c r="A94" s="16" t="s">
        <v>35</v>
      </c>
    </row>
    <row r="95" spans="1:1" s="20" customFormat="1" x14ac:dyDescent="0.2">
      <c r="A95" s="16" t="s">
        <v>30</v>
      </c>
    </row>
    <row r="96" spans="1:1" s="20" customFormat="1" x14ac:dyDescent="0.2">
      <c r="A96" s="16" t="s">
        <v>42</v>
      </c>
    </row>
    <row r="97" spans="1:1" s="20" customFormat="1" x14ac:dyDescent="0.2">
      <c r="A97" s="16" t="s">
        <v>88</v>
      </c>
    </row>
    <row r="98" spans="1:1" s="20" customFormat="1" x14ac:dyDescent="0.2">
      <c r="A98" s="16" t="s">
        <v>89</v>
      </c>
    </row>
    <row r="99" spans="1:1" s="20" customFormat="1" x14ac:dyDescent="0.2">
      <c r="A99" s="27" t="str">
        <f>"    router-id "&amp;LoopbackIP&amp;";"</f>
        <v xml:space="preserve">    router-id ;</v>
      </c>
    </row>
    <row r="100" spans="1:1" s="20" customFormat="1" x14ac:dyDescent="0.2">
      <c r="A100" s="16" t="s">
        <v>42</v>
      </c>
    </row>
    <row r="101" spans="1:1" s="20" customFormat="1" x14ac:dyDescent="0.2">
      <c r="A101" s="16" t="s">
        <v>90</v>
      </c>
    </row>
    <row r="102" spans="1:1" s="20" customFormat="1" x14ac:dyDescent="0.2">
      <c r="A102" s="16" t="s">
        <v>91</v>
      </c>
    </row>
    <row r="103" spans="1:1" s="20" customFormat="1" x14ac:dyDescent="0.2">
      <c r="A103" s="16" t="s">
        <v>92</v>
      </c>
    </row>
    <row r="104" spans="1:1" s="20" customFormat="1" x14ac:dyDescent="0.2">
      <c r="A104" s="16" t="s">
        <v>123</v>
      </c>
    </row>
    <row r="105" spans="1:1" s="20" customFormat="1" x14ac:dyDescent="0.2">
      <c r="A105" s="16" t="s">
        <v>30</v>
      </c>
    </row>
    <row r="106" spans="1:1" s="20" customFormat="1" x14ac:dyDescent="0.2">
      <c r="A106" s="16" t="s">
        <v>42</v>
      </c>
    </row>
  </sheetData>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D151"/>
  <sheetViews>
    <sheetView workbookViewId="0">
      <selection activeCell="A13" sqref="A13"/>
    </sheetView>
  </sheetViews>
  <sheetFormatPr defaultColWidth="9.140625" defaultRowHeight="12.75" x14ac:dyDescent="0.2"/>
  <cols>
    <col min="1" max="1" width="126.28515625" style="16" customWidth="1"/>
    <col min="2" max="3" width="9.140625" style="20"/>
    <col min="4" max="4" width="11.7109375" style="20" customWidth="1"/>
    <col min="5" max="16384" width="9.140625" style="16"/>
  </cols>
  <sheetData>
    <row r="1" spans="1:1" ht="18.75" x14ac:dyDescent="0.3">
      <c r="A1" s="25" t="s">
        <v>129</v>
      </c>
    </row>
    <row r="2" spans="1:1" ht="15.75" x14ac:dyDescent="0.25">
      <c r="A2" s="26" t="s">
        <v>124</v>
      </c>
    </row>
    <row r="3" spans="1:1" ht="15.75" x14ac:dyDescent="0.25">
      <c r="A3" s="26" t="s">
        <v>138</v>
      </c>
    </row>
    <row r="4" spans="1:1" x14ac:dyDescent="0.2">
      <c r="A4" s="16" t="s">
        <v>54</v>
      </c>
    </row>
    <row r="5" spans="1:1" x14ac:dyDescent="0.2">
      <c r="A5" s="16" t="s">
        <v>55</v>
      </c>
    </row>
    <row r="6" spans="1:1" x14ac:dyDescent="0.2">
      <c r="A6" s="16" t="s">
        <v>56</v>
      </c>
    </row>
    <row r="7" spans="1:1" x14ac:dyDescent="0.2">
      <c r="A7" s="16" t="s">
        <v>57</v>
      </c>
    </row>
    <row r="8" spans="1:1" x14ac:dyDescent="0.2">
      <c r="A8" s="16" t="s">
        <v>61</v>
      </c>
    </row>
    <row r="9" spans="1:1" x14ac:dyDescent="0.2">
      <c r="A9" s="16" t="s">
        <v>58</v>
      </c>
    </row>
    <row r="10" spans="1:1" x14ac:dyDescent="0.2">
      <c r="A10" s="16" t="s">
        <v>140</v>
      </c>
    </row>
    <row r="11" spans="1:1" x14ac:dyDescent="0.2">
      <c r="A11" s="16" t="s">
        <v>59</v>
      </c>
    </row>
    <row r="12" spans="1:1" x14ac:dyDescent="0.2">
      <c r="A12" s="16" t="s">
        <v>62</v>
      </c>
    </row>
    <row r="13" spans="1:1" x14ac:dyDescent="0.2">
      <c r="A13" s="16" t="s">
        <v>141</v>
      </c>
    </row>
    <row r="14" spans="1:1" x14ac:dyDescent="0.2">
      <c r="A14" s="16" t="s">
        <v>59</v>
      </c>
    </row>
    <row r="15" spans="1:1" x14ac:dyDescent="0.2">
      <c r="A15" s="16" t="s">
        <v>60</v>
      </c>
    </row>
    <row r="16" spans="1:1" x14ac:dyDescent="0.2">
      <c r="A16" s="16" t="s">
        <v>34</v>
      </c>
    </row>
    <row r="17" spans="1:1" x14ac:dyDescent="0.2">
      <c r="A17" s="16" t="s">
        <v>35</v>
      </c>
    </row>
    <row r="18" spans="1:1" x14ac:dyDescent="0.2">
      <c r="A18" s="16" t="s">
        <v>63</v>
      </c>
    </row>
    <row r="19" spans="1:1" x14ac:dyDescent="0.2">
      <c r="A19" s="16" t="s">
        <v>64</v>
      </c>
    </row>
    <row r="20" spans="1:1" x14ac:dyDescent="0.2">
      <c r="A20" s="16" t="s">
        <v>65</v>
      </c>
    </row>
    <row r="21" spans="1:1" x14ac:dyDescent="0.2">
      <c r="A21" s="16" t="s">
        <v>66</v>
      </c>
    </row>
    <row r="22" spans="1:1" x14ac:dyDescent="0.2">
      <c r="A22" s="16" t="s">
        <v>67</v>
      </c>
    </row>
    <row r="23" spans="1:1" x14ac:dyDescent="0.2">
      <c r="A23" s="16" t="s">
        <v>59</v>
      </c>
    </row>
    <row r="24" spans="1:1" x14ac:dyDescent="0.2">
      <c r="A24" s="16" t="s">
        <v>60</v>
      </c>
    </row>
    <row r="25" spans="1:1" x14ac:dyDescent="0.2">
      <c r="A25" s="16" t="s">
        <v>34</v>
      </c>
    </row>
    <row r="26" spans="1:1" x14ac:dyDescent="0.2">
      <c r="A26" s="16" t="s">
        <v>68</v>
      </c>
    </row>
    <row r="27" spans="1:1" x14ac:dyDescent="0.2">
      <c r="A27" s="16" t="s">
        <v>69</v>
      </c>
    </row>
    <row r="28" spans="1:1" x14ac:dyDescent="0.2">
      <c r="A28" s="16" t="s">
        <v>70</v>
      </c>
    </row>
    <row r="29" spans="1:1" x14ac:dyDescent="0.2">
      <c r="A29" s="16" t="s">
        <v>71</v>
      </c>
    </row>
    <row r="30" spans="1:1" x14ac:dyDescent="0.2">
      <c r="A30" s="16" t="s">
        <v>72</v>
      </c>
    </row>
    <row r="31" spans="1:1" x14ac:dyDescent="0.2">
      <c r="A31" s="16" t="s">
        <v>73</v>
      </c>
    </row>
    <row r="32" spans="1:1" x14ac:dyDescent="0.2">
      <c r="A32" s="16" t="s">
        <v>74</v>
      </c>
    </row>
    <row r="33" spans="1:4" x14ac:dyDescent="0.2">
      <c r="A33" s="16" t="s">
        <v>75</v>
      </c>
    </row>
    <row r="34" spans="1:4" x14ac:dyDescent="0.2">
      <c r="A34" s="16" t="s">
        <v>76</v>
      </c>
    </row>
    <row r="35" spans="1:4" x14ac:dyDescent="0.2">
      <c r="A35" s="16" t="s">
        <v>59</v>
      </c>
    </row>
    <row r="36" spans="1:4" x14ac:dyDescent="0.2">
      <c r="A36" s="16" t="s">
        <v>60</v>
      </c>
    </row>
    <row r="37" spans="1:4" x14ac:dyDescent="0.2">
      <c r="A37" s="16" t="s">
        <v>34</v>
      </c>
    </row>
    <row r="38" spans="1:4" x14ac:dyDescent="0.2">
      <c r="A38" s="16" t="s">
        <v>35</v>
      </c>
    </row>
    <row r="39" spans="1:4" x14ac:dyDescent="0.2">
      <c r="A39" s="16" t="s">
        <v>77</v>
      </c>
      <c r="B39" s="30"/>
      <c r="C39" s="30"/>
      <c r="D39" s="30"/>
    </row>
    <row r="40" spans="1:4" x14ac:dyDescent="0.2">
      <c r="A40" s="16" t="s">
        <v>78</v>
      </c>
    </row>
    <row r="41" spans="1:4" x14ac:dyDescent="0.2">
      <c r="A41" s="16" t="s">
        <v>79</v>
      </c>
    </row>
    <row r="42" spans="1:4" x14ac:dyDescent="0.2">
      <c r="A42" s="16" t="s">
        <v>35</v>
      </c>
      <c r="B42" s="30"/>
      <c r="C42" s="30"/>
      <c r="D42" s="30"/>
    </row>
    <row r="43" spans="1:4" x14ac:dyDescent="0.2">
      <c r="A43" s="16" t="s">
        <v>80</v>
      </c>
    </row>
    <row r="44" spans="1:4" x14ac:dyDescent="0.2">
      <c r="A44" s="16" t="s">
        <v>81</v>
      </c>
    </row>
    <row r="45" spans="1:4" x14ac:dyDescent="0.2">
      <c r="A45" s="16" t="s">
        <v>35</v>
      </c>
    </row>
    <row r="46" spans="1:4" x14ac:dyDescent="0.2">
      <c r="A46" s="16" t="s">
        <v>30</v>
      </c>
      <c r="B46" s="30"/>
      <c r="C46" s="30"/>
      <c r="D46" s="30"/>
    </row>
    <row r="47" spans="1:4" x14ac:dyDescent="0.2">
      <c r="A47" s="16" t="s">
        <v>82</v>
      </c>
    </row>
    <row r="48" spans="1:4" x14ac:dyDescent="0.2">
      <c r="A48" s="16" t="s">
        <v>83</v>
      </c>
      <c r="B48" s="30"/>
      <c r="C48" s="30"/>
      <c r="D48" s="30"/>
    </row>
    <row r="49" spans="1:4" x14ac:dyDescent="0.2">
      <c r="A49" s="16" t="s">
        <v>30</v>
      </c>
    </row>
    <row r="50" spans="1:4" x14ac:dyDescent="0.2">
      <c r="A50" s="16" t="s">
        <v>84</v>
      </c>
    </row>
    <row r="51" spans="1:4" x14ac:dyDescent="0.2">
      <c r="A51" s="16" t="s">
        <v>85</v>
      </c>
    </row>
    <row r="52" spans="1:4" x14ac:dyDescent="0.2">
      <c r="A52" s="16" t="s">
        <v>86</v>
      </c>
    </row>
    <row r="53" spans="1:4" x14ac:dyDescent="0.2">
      <c r="A53" s="16" t="s">
        <v>87</v>
      </c>
    </row>
    <row r="54" spans="1:4" x14ac:dyDescent="0.2">
      <c r="A54" s="16" t="s">
        <v>35</v>
      </c>
    </row>
    <row r="55" spans="1:4" x14ac:dyDescent="0.2">
      <c r="A55" s="16" t="s">
        <v>30</v>
      </c>
    </row>
    <row r="56" spans="1:4" x14ac:dyDescent="0.2">
      <c r="A56" s="16" t="s">
        <v>42</v>
      </c>
      <c r="B56" s="30"/>
      <c r="C56" s="30"/>
      <c r="D56" s="30"/>
    </row>
    <row r="58" spans="1:4" x14ac:dyDescent="0.2">
      <c r="A58" s="31"/>
    </row>
    <row r="63" spans="1:4" x14ac:dyDescent="0.2">
      <c r="B63" s="30"/>
      <c r="C63" s="30"/>
      <c r="D63" s="30"/>
    </row>
    <row r="65" spans="1:1" x14ac:dyDescent="0.2">
      <c r="A65" s="31"/>
    </row>
    <row r="127" spans="1:1" customFormat="1" x14ac:dyDescent="0.2">
      <c r="A127" s="16"/>
    </row>
    <row r="128" spans="1:1" customFormat="1" x14ac:dyDescent="0.2">
      <c r="A128" s="16"/>
    </row>
    <row r="129" spans="1:1" x14ac:dyDescent="0.2">
      <c r="A129" s="32"/>
    </row>
    <row r="130" spans="1:1" x14ac:dyDescent="0.2">
      <c r="A130" s="32"/>
    </row>
    <row r="149" spans="1:4" x14ac:dyDescent="0.2">
      <c r="B149" s="30"/>
      <c r="C149" s="30"/>
      <c r="D149" s="30"/>
    </row>
    <row r="151" spans="1:4" x14ac:dyDescent="0.2">
      <c r="A151" s="31"/>
    </row>
  </sheetData>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8"/>
  <sheetViews>
    <sheetView workbookViewId="0">
      <selection activeCell="C5" sqref="C5"/>
    </sheetView>
  </sheetViews>
  <sheetFormatPr defaultRowHeight="12.75" x14ac:dyDescent="0.2"/>
  <cols>
    <col min="1" max="2" width="41.85546875" customWidth="1"/>
    <col min="3" max="3" width="88.28515625" customWidth="1"/>
  </cols>
  <sheetData>
    <row r="1" spans="1:3" ht="18.75" x14ac:dyDescent="0.3">
      <c r="A1" s="9" t="s">
        <v>99</v>
      </c>
      <c r="B1" s="9"/>
    </row>
    <row r="2" spans="1:3" x14ac:dyDescent="0.2">
      <c r="A2" s="12" t="s">
        <v>100</v>
      </c>
      <c r="B2" s="12"/>
    </row>
    <row r="3" spans="1:3" x14ac:dyDescent="0.2">
      <c r="A3" s="12"/>
      <c r="B3" s="12"/>
    </row>
    <row r="4" spans="1:3" x14ac:dyDescent="0.2">
      <c r="A4" s="10" t="s">
        <v>101</v>
      </c>
      <c r="B4" s="10" t="s">
        <v>102</v>
      </c>
      <c r="C4" s="21" t="s">
        <v>103</v>
      </c>
    </row>
    <row r="5" spans="1:3" ht="25.5" x14ac:dyDescent="0.2">
      <c r="A5" s="23" t="str">
        <f>"show interface terse "</f>
        <v xml:space="preserve">show interface terse </v>
      </c>
      <c r="B5" s="24" t="s">
        <v>120</v>
      </c>
      <c r="C5" s="22"/>
    </row>
    <row r="6" spans="1:3" ht="140.25" x14ac:dyDescent="0.2">
      <c r="A6" s="23" t="s">
        <v>105</v>
      </c>
      <c r="B6" s="24" t="s">
        <v>106</v>
      </c>
      <c r="C6" s="22" t="s">
        <v>104</v>
      </c>
    </row>
    <row r="7" spans="1:3" x14ac:dyDescent="0.2">
      <c r="A7" s="10"/>
      <c r="B7" s="10"/>
    </row>
    <row r="8" spans="1:3" x14ac:dyDescent="0.2">
      <c r="A8" s="10"/>
      <c r="B8" s="10"/>
    </row>
  </sheetData>
  <pageMargins left="0.7" right="0.7" top="0.75" bottom="0.75" header="0.3" footer="0.3"/>
  <pageSetup paperSize="9" orientation="portrait" horizontalDpi="0" verticalDpi="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D20"/>
  <sheetViews>
    <sheetView workbookViewId="0">
      <selection activeCell="B7" sqref="B7"/>
    </sheetView>
  </sheetViews>
  <sheetFormatPr defaultRowHeight="12.75" x14ac:dyDescent="0.2"/>
  <cols>
    <col min="1" max="1" width="7.42578125" style="2" customWidth="1"/>
    <col min="2" max="2" width="15.85546875" style="2" bestFit="1" customWidth="1"/>
    <col min="3" max="3" width="27.7109375" style="2" customWidth="1"/>
    <col min="4" max="4" width="66.5703125" style="2" bestFit="1" customWidth="1"/>
  </cols>
  <sheetData>
    <row r="1" spans="1:4" ht="18.75" x14ac:dyDescent="0.3">
      <c r="A1" s="1" t="s">
        <v>1</v>
      </c>
      <c r="B1" s="1"/>
    </row>
    <row r="2" spans="1:4" x14ac:dyDescent="0.2">
      <c r="A2" s="3" t="s">
        <v>5</v>
      </c>
      <c r="B2" s="3"/>
    </row>
    <row r="3" spans="1:4" x14ac:dyDescent="0.2">
      <c r="A3" s="3" t="s">
        <v>6</v>
      </c>
      <c r="B3" s="3"/>
    </row>
    <row r="4" spans="1:4" x14ac:dyDescent="0.2">
      <c r="A4" s="3" t="s">
        <v>2</v>
      </c>
      <c r="B4" s="3" t="s">
        <v>7</v>
      </c>
      <c r="C4" s="2" t="s">
        <v>3</v>
      </c>
      <c r="D4" s="2" t="s">
        <v>4</v>
      </c>
    </row>
    <row r="5" spans="1:4" s="6" customFormat="1" x14ac:dyDescent="0.2">
      <c r="A5" s="5" t="s">
        <v>8</v>
      </c>
      <c r="B5" s="5" t="s">
        <v>121</v>
      </c>
      <c r="C5" s="5" t="s">
        <v>98</v>
      </c>
      <c r="D5" s="5" t="s">
        <v>24</v>
      </c>
    </row>
    <row r="6" spans="1:4" s="6" customFormat="1" x14ac:dyDescent="0.2">
      <c r="A6" s="7" t="s">
        <v>9</v>
      </c>
      <c r="B6" s="7" t="s">
        <v>131</v>
      </c>
      <c r="C6" s="7" t="s">
        <v>98</v>
      </c>
      <c r="D6" s="8" t="s">
        <v>132</v>
      </c>
    </row>
    <row r="7" spans="1:4" s="6" customFormat="1" x14ac:dyDescent="0.2">
      <c r="A7" s="7" t="s">
        <v>10</v>
      </c>
      <c r="B7" s="7"/>
      <c r="C7" s="7"/>
      <c r="D7" s="8"/>
    </row>
    <row r="8" spans="1:4" s="6" customFormat="1" x14ac:dyDescent="0.2">
      <c r="A8" s="7" t="s">
        <v>11</v>
      </c>
      <c r="B8" s="7"/>
      <c r="C8" s="7"/>
      <c r="D8" s="7"/>
    </row>
    <row r="9" spans="1:4" s="6" customFormat="1" x14ac:dyDescent="0.2">
      <c r="A9" s="7" t="s">
        <v>12</v>
      </c>
      <c r="B9" s="7"/>
      <c r="C9" s="7"/>
      <c r="D9" s="8"/>
    </row>
    <row r="10" spans="1:4" s="6" customFormat="1" x14ac:dyDescent="0.2">
      <c r="A10" s="7" t="s">
        <v>13</v>
      </c>
      <c r="B10" s="7"/>
      <c r="C10" s="7"/>
      <c r="D10" s="7"/>
    </row>
    <row r="11" spans="1:4" s="6" customFormat="1" x14ac:dyDescent="0.2">
      <c r="A11" s="7" t="s">
        <v>14</v>
      </c>
      <c r="B11" s="7"/>
      <c r="C11" s="7"/>
      <c r="D11" s="7"/>
    </row>
    <row r="12" spans="1:4" s="6" customFormat="1" x14ac:dyDescent="0.2">
      <c r="A12" s="7" t="s">
        <v>15</v>
      </c>
      <c r="B12" s="7"/>
      <c r="C12" s="7"/>
      <c r="D12" s="7"/>
    </row>
    <row r="13" spans="1:4" s="6" customFormat="1" x14ac:dyDescent="0.2">
      <c r="A13" s="7" t="s">
        <v>16</v>
      </c>
      <c r="B13" s="7"/>
      <c r="C13" s="7"/>
      <c r="D13" s="7"/>
    </row>
    <row r="14" spans="1:4" s="6" customFormat="1" x14ac:dyDescent="0.2">
      <c r="A14" s="7" t="s">
        <v>17</v>
      </c>
      <c r="B14" s="7"/>
      <c r="C14" s="7"/>
      <c r="D14" s="7"/>
    </row>
    <row r="15" spans="1:4" s="6" customFormat="1" x14ac:dyDescent="0.2">
      <c r="A15" s="7" t="s">
        <v>18</v>
      </c>
      <c r="B15" s="7"/>
      <c r="C15" s="7"/>
      <c r="D15" s="7"/>
    </row>
    <row r="16" spans="1:4" s="6" customFormat="1" x14ac:dyDescent="0.2">
      <c r="A16" s="7" t="s">
        <v>19</v>
      </c>
      <c r="B16" s="7"/>
      <c r="C16" s="7"/>
      <c r="D16" s="7"/>
    </row>
    <row r="17" spans="1:4" x14ac:dyDescent="0.2">
      <c r="A17" s="7" t="s">
        <v>20</v>
      </c>
      <c r="B17" s="4"/>
      <c r="C17" s="4"/>
      <c r="D17" s="4"/>
    </row>
    <row r="18" spans="1:4" x14ac:dyDescent="0.2">
      <c r="A18" s="7" t="s">
        <v>21</v>
      </c>
      <c r="B18" s="4"/>
      <c r="C18" s="4"/>
      <c r="D18" s="4"/>
    </row>
    <row r="19" spans="1:4" x14ac:dyDescent="0.2">
      <c r="A19" s="7" t="s">
        <v>22</v>
      </c>
      <c r="B19" s="4"/>
      <c r="C19" s="4"/>
      <c r="D19" s="4"/>
    </row>
    <row r="20" spans="1:4" x14ac:dyDescent="0.2">
      <c r="A20" s="7" t="s">
        <v>23</v>
      </c>
      <c r="B20" s="4"/>
      <c r="C20" s="4"/>
      <c r="D20" s="4"/>
    </row>
  </sheetData>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p:properties xmlns:p="http://schemas.microsoft.com/office/2006/metadata/properties" xmlns:xsi="http://www.w3.org/2001/XMLSchema-instance" xmlns:pc="http://schemas.microsoft.com/office/infopath/2007/PartnerControls">
  <documentManagement>
    <ExtractedContributor xmlns="http://schemas.microsoft.com/sharepoint/v3" xsi:nil="true"/>
    <Preservation_x0020_Order_x0020_Numbers xmlns="e6bb6fa4-9c23-4df5-9c72-0315fa8fef6d" xsi:nil="true"/>
    <IP_x0020_Classification xmlns="e6bb6fa4-9c23-4df5-9c72-0315fa8fef6d">Company Confidential</IP_x0020_Classification>
    <Retention_x0020_Start_x0020_Date xmlns="b9f1db13-37d0-4e45-944c-b878e8992007" xsi:nil="true"/>
    <f1f5acf37a9e4df8843432af9802a72a xmlns="b9f1db13-37d0-4e45-944c-b878e8992007">
      <Terms xmlns="http://schemas.microsoft.com/office/infopath/2007/PartnerControls"/>
    </f1f5acf37a9e4df8843432af9802a72a>
    <p01231d88c934046812dbe39cf15431a xmlns="fae423db-7aea-40a7-8e81-2a365c617d65">
      <Terms xmlns="http://schemas.microsoft.com/office/infopath/2007/PartnerControls">
        <TermInfo xmlns="http://schemas.microsoft.com/office/infopath/2007/PartnerControls">
          <TermName xmlns="http://schemas.microsoft.com/office/infopath/2007/PartnerControls">Reference Document</TermName>
          <TermId xmlns="http://schemas.microsoft.com/office/infopath/2007/PartnerControls">b32bd135-7ebe-49d0-bfcc-ca766c5e9989</TermId>
        </TermInfo>
      </Terms>
    </p01231d88c934046812dbe39cf15431a>
    <p01231d88c934046812dbe39cf15430a xmlns="fae423db-7aea-40a7-8e81-2a365c617d65">
      <Terms xmlns="http://schemas.microsoft.com/office/infopath/2007/PartnerControls">
        <TermInfo xmlns="http://schemas.microsoft.com/office/infopath/2007/PartnerControls">
          <TermName xmlns="http://schemas.microsoft.com/office/infopath/2007/PartnerControls">ITC</TermName>
          <TermId xmlns="http://schemas.microsoft.com/office/infopath/2007/PartnerControls">ecbec78b-50a1-4ef1-8ccc-34a4e3517e4c</TermId>
        </TermInfo>
      </Terms>
    </p01231d88c934046812dbe39cf15430a>
    <Retain_x0020_Until_x0020_Date xmlns="b9f1db13-37d0-4e45-944c-b878e8992007" xsi:nil="true"/>
    <Inactive_x0020_Record xmlns="b9f1db13-37d0-4e45-944c-b878e8992007" xsi:nil="true"/>
    <Location_x0020_Type xmlns="11e2669d-abce-43e6-af1f-34e8d9b13539">All</Location_x0020_Type>
    <TaxCatchAll xmlns="fae423db-7aea-40a7-8e81-2a365c617d65">
      <Value>6</Value>
      <Value>3</Value>
    </TaxCatchAll>
    <Associated_x0020_Project xmlns="11e2669d-abce-43e6-af1f-34e8d9b13539">Core</Associated_x0020_Project>
    <Core_x0020_Documentation xmlns="11e2669d-abce-43e6-af1f-34e8d9b13539">Yes</Core_x0020_Documentation>
    <Document_x0020_Category xmlns="11e2669d-abce-43e6-af1f-34e8d9b13539">Network Provisioning</Document_x0020_Category>
    <Technology_x0020_Focus xmlns="11e2669d-abce-43e6-af1f-34e8d9b13539">Wide Area Network</Technology_x0020_Focus>
    <Region xmlns="11e2669d-abce-43e6-af1f-34e8d9b13539">All</Region>
    <Facility_x0020_Code xmlns="11e2669d-abce-43e6-af1f-34e8d9b13539">ALL</Facility_x0020_Code>
  </documentManagement>
</p:properties>
</file>

<file path=customXml/item2.xml><?xml version="1.0" encoding="utf-8"?>
<LongProperties xmlns="http://schemas.microsoft.com/office/2006/metadata/long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mso-contentType ?>
<SharedContentType xmlns="Microsoft.SharePoint.Taxonomy.ContentTypeSync" SourceId="03b784c7-ee61-4ee7-89a9-d87ec2bf0954" ContentTypeId="0x010100FBB1BDE89FB27C449A0E29AF421E312401" PreviousValue="false"/>
</file>

<file path=customXml/item5.xml><?xml version="1.0" encoding="utf-8"?>
<ct:contentTypeSchema xmlns:ct="http://schemas.microsoft.com/office/2006/metadata/contentType" xmlns:ma="http://schemas.microsoft.com/office/2006/metadata/properties/metaAttributes" ct:_="" ma:_="" ma:contentTypeName="General Document" ma:contentTypeID="0x010100FBB1BDE89FB27C449A0E29AF421E312401002738AD58B4610A478E0A93891DDB1B97" ma:contentTypeVersion="40" ma:contentTypeDescription="Create a new document." ma:contentTypeScope="" ma:versionID="3f994c295125f1baedbf4bf7eb5b393f">
  <xsd:schema xmlns:xsd="http://www.w3.org/2001/XMLSchema" xmlns:xs="http://www.w3.org/2001/XMLSchema" xmlns:p="http://schemas.microsoft.com/office/2006/metadata/properties" xmlns:ns1="http://schemas.microsoft.com/sharepoint/v3" xmlns:ns3="fae423db-7aea-40a7-8e81-2a365c617d65" xmlns:ns4="e6bb6fa4-9c23-4df5-9c72-0315fa8fef6d" xmlns:ns5="b9f1db13-37d0-4e45-944c-b878e8992007" xmlns:ns6="11e2669d-abce-43e6-af1f-34e8d9b13539" xmlns:ns7="a1d2a642-8c0e-4be2-8d73-f78f3a48523f" targetNamespace="http://schemas.microsoft.com/office/2006/metadata/properties" ma:root="true" ma:fieldsID="ed55386a9b472c939232178b0be3ab02" ns1:_="" ns3:_="" ns4:_="" ns5:_="" ns6:_="" ns7:_="">
    <xsd:import namespace="http://schemas.microsoft.com/sharepoint/v3"/>
    <xsd:import namespace="fae423db-7aea-40a7-8e81-2a365c617d65"/>
    <xsd:import namespace="e6bb6fa4-9c23-4df5-9c72-0315fa8fef6d"/>
    <xsd:import namespace="b9f1db13-37d0-4e45-944c-b878e8992007"/>
    <xsd:import namespace="11e2669d-abce-43e6-af1f-34e8d9b13539"/>
    <xsd:import namespace="a1d2a642-8c0e-4be2-8d73-f78f3a48523f"/>
    <xsd:element name="properties">
      <xsd:complexType>
        <xsd:sequence>
          <xsd:element name="documentManagement">
            <xsd:complexType>
              <xsd:all>
                <xsd:element ref="ns4:IP_x0020_Classification"/>
                <xsd:element ref="ns4:Preservation_x0020_Order_x0020_Numbers" minOccurs="0"/>
                <xsd:element ref="ns5:Retention_x0020_Start_x0020_Date" minOccurs="0"/>
                <xsd:element ref="ns5:Retain_x0020_Until_x0020_Date" minOccurs="0"/>
                <xsd:element ref="ns3:TaxCatchAllLabel" minOccurs="0"/>
                <xsd:element ref="ns3:p01231d88c934046812dbe39cf15431a" minOccurs="0"/>
                <xsd:element ref="ns3:p01231d88c934046812dbe39cf15430a" minOccurs="0"/>
                <xsd:element ref="ns3:TaxCatchAll" minOccurs="0"/>
                <xsd:element ref="ns1:ExtractedContributor" minOccurs="0"/>
                <xsd:element ref="ns5:Inactive_x0020_Record" minOccurs="0"/>
                <xsd:element ref="ns5:f1f5acf37a9e4df8843432af9802a72a" minOccurs="0"/>
                <xsd:element ref="ns6:Location_x0020_Type"/>
                <xsd:element ref="ns6:Technology_x0020_Focus"/>
                <xsd:element ref="ns6:Facility_x0020_Code"/>
                <xsd:element ref="ns6:MediaServiceMetadata" minOccurs="0"/>
                <xsd:element ref="ns6:MediaServiceFastMetadata" minOccurs="0"/>
                <xsd:element ref="ns6:Document_x0020_Category"/>
                <xsd:element ref="ns6:Associated_x0020_Project"/>
                <xsd:element ref="ns7:SharedWithUsers" minOccurs="0"/>
                <xsd:element ref="ns7:SharedWithDetails" minOccurs="0"/>
                <xsd:element ref="ns6:Region"/>
                <xsd:element ref="ns6:Core_x0020_Documentation"/>
                <xsd:element ref="ns6:MediaServiceAutoKeyPoints" minOccurs="0"/>
                <xsd:element ref="ns6: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ExtractedContributor" ma:index="19" nillable="true" ma:displayName="Extracted Contributor" ma:description="Extracted Contributor" ma:internalName="ExtractedContributor" ma:readOnly="false">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ae423db-7aea-40a7-8e81-2a365c617d65" elementFormDefault="qualified">
    <xsd:import namespace="http://schemas.microsoft.com/office/2006/documentManagement/types"/>
    <xsd:import namespace="http://schemas.microsoft.com/office/infopath/2007/PartnerControls"/>
    <xsd:element name="TaxCatchAllLabel" ma:index="9" nillable="true" ma:displayName="Taxonomy Catch All Column1" ma:hidden="true" ma:list="{d928c7d2-f318-4347-968c-e44581dc8122}" ma:internalName="TaxCatchAllLabel" ma:readOnly="true" ma:showField="CatchAllDataLabel" ma:web="2b489392-c913-418a-ae1e-77cf49d6489c">
      <xsd:complexType>
        <xsd:complexContent>
          <xsd:extension base="dms:MultiChoiceLookup">
            <xsd:sequence>
              <xsd:element name="Value" type="dms:Lookup" maxOccurs="unbounded" minOccurs="0" nillable="true"/>
            </xsd:sequence>
          </xsd:extension>
        </xsd:complexContent>
      </xsd:complexType>
    </xsd:element>
    <xsd:element name="p01231d88c934046812dbe39cf15431a" ma:index="13" ma:taxonomy="true" ma:internalName="p01231d88c934046812dbe39cf15431a" ma:taxonomyFieldName="Retention_x0020_Category" ma:displayName="Retention Category" ma:readOnly="false" ma:default="6;#Reference Document|b32bd135-7ebe-49d0-bfcc-ca766c5e9989" ma:fieldId="{fd1ef4d8-3e07-46a2-b2b4-c9e81ccc81f4}" ma:sspId="03b784c7-ee61-4ee7-89a9-d87ec2bf0954" ma:termSetId="fda4940a-b680-4317-929f-5e2e0638e24f" ma:anchorId="00000000-0000-0000-0000-000000000000" ma:open="false" ma:isKeyword="false">
      <xsd:complexType>
        <xsd:sequence>
          <xsd:element ref="pc:Terms" minOccurs="0" maxOccurs="1"/>
        </xsd:sequence>
      </xsd:complexType>
    </xsd:element>
    <xsd:element name="p01231d88c934046812dbe39cf15430a" ma:index="16" ma:taxonomy="true" ma:internalName="p01231d88c934046812dbe39cf15430a" ma:taxonomyFieldName="Chevron_x0020_Organization" ma:displayName="Owner Organization" ma:readOnly="false" ma:default="7;#ITSD|bc7be532-e7a6-4882-bf05-1bff6add6fcb" ma:fieldId="{901231d8-8c93-4046-812d-be39cf15430a}" ma:sspId="03b784c7-ee61-4ee7-89a9-d87ec2bf0954" ma:termSetId="4bf10e93-cbf8-470b-bd43-152d61f74238" ma:anchorId="00000000-0000-0000-0000-000000000000" ma:open="false" ma:isKeyword="false">
      <xsd:complexType>
        <xsd:sequence>
          <xsd:element ref="pc:Terms" minOccurs="0" maxOccurs="1"/>
        </xsd:sequence>
      </xsd:complexType>
    </xsd:element>
    <xsd:element name="TaxCatchAll" ma:index="17" nillable="true" ma:displayName="Taxonomy Catch All Column" ma:hidden="true" ma:list="{d928c7d2-f318-4347-968c-e44581dc8122}" ma:internalName="TaxCatchAll" ma:showField="CatchAllData" ma:web="2b489392-c913-418a-ae1e-77cf49d6489c">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e6bb6fa4-9c23-4df5-9c72-0315fa8fef6d" elementFormDefault="qualified">
    <xsd:import namespace="http://schemas.microsoft.com/office/2006/documentManagement/types"/>
    <xsd:import namespace="http://schemas.microsoft.com/office/infopath/2007/PartnerControls"/>
    <xsd:element name="IP_x0020_Classification" ma:index="4" ma:displayName="IP Classification" ma:default="Company Confidential" ma:description="Sensitivity of the information" ma:format="Dropdown" ma:internalName="IP_x0020_Classification" ma:readOnly="false">
      <xsd:simpleType>
        <xsd:restriction base="dms:Choice">
          <xsd:enumeration value="Public"/>
          <xsd:enumeration value="Company Confidential"/>
          <xsd:enumeration value="Confidential Restricted"/>
          <xsd:enumeration value="Classified"/>
        </xsd:restriction>
      </xsd:simpleType>
    </xsd:element>
    <xsd:element name="Preservation_x0020_Order_x0020_Numbers" ma:index="5" nillable="true" ma:displayName="Preservation Order Numbers" ma:description="Preservation Order Numbers, when issued by Legal, require that this item MUST NOT be deleted. Separate multiple preservation order numbers with commas." ma:internalName="Preservation_x0020_Order_x0020_Numbers">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9f1db13-37d0-4e45-944c-b878e8992007" elementFormDefault="qualified">
    <xsd:import namespace="http://schemas.microsoft.com/office/2006/documentManagement/types"/>
    <xsd:import namespace="http://schemas.microsoft.com/office/infopath/2007/PartnerControls"/>
    <xsd:element name="Retention_x0020_Start_x0020_Date" ma:index="7" nillable="true" ma:displayName="Retention Start Date" ma:description="The start date for retention period calculation." ma:format="DateOnly" ma:internalName="Retention_x0020_Start_x0020_Date">
      <xsd:simpleType>
        <xsd:restriction base="dms:DateTime"/>
      </xsd:simpleType>
    </xsd:element>
    <xsd:element name="Retain_x0020_Until_x0020_Date" ma:index="8" nillable="true" ma:displayName="Retain Until Date" ma:description="The start date for retention period calculation." ma:format="DateOnly" ma:internalName="Retain_x0020_Until_x0020_Date">
      <xsd:simpleType>
        <xsd:restriction base="dms:DateTime"/>
      </xsd:simpleType>
    </xsd:element>
    <xsd:element name="Inactive_x0020_Record" ma:index="20" nillable="true" ma:displayName="Inactive Record" ma:description="Used to designate records as inactive." ma:internalName="Inactive_x0020_Record">
      <xsd:simpleType>
        <xsd:restriction base="dms:Boolean"/>
      </xsd:simpleType>
    </xsd:element>
    <xsd:element name="f1f5acf37a9e4df8843432af9802a72a" ma:index="21" nillable="true" ma:taxonomy="true" ma:internalName="f1f5acf37a9e4df8843432af9802a72a" ma:taxonomyFieldName="Chevron_x0020_Discipline" ma:displayName="Chevron Discipline" ma:fieldId="{f1f5acf3-7a9e-4df8-8434-32af9802a72a}" ma:sspId="03b784c7-ee61-4ee7-89a9-d87ec2bf0954" ma:termSetId="84286160-6c66-4956-a819-71b834cd237e"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11e2669d-abce-43e6-af1f-34e8d9b13539" elementFormDefault="qualified">
    <xsd:import namespace="http://schemas.microsoft.com/office/2006/documentManagement/types"/>
    <xsd:import namespace="http://schemas.microsoft.com/office/infopath/2007/PartnerControls"/>
    <xsd:element name="Location_x0020_Type" ma:index="23" ma:displayName="Network Location Type" ma:format="Dropdown" ma:internalName="Location_x0020_Type">
      <xsd:simpleType>
        <xsd:restriction base="dms:Choice">
          <xsd:enumeration value="All"/>
          <xsd:enumeration value="B-Hub"/>
          <xsd:enumeration value="C-Hub"/>
          <xsd:enumeration value="C-Hub - Extranet"/>
          <xsd:enumeration value="D-Hub"/>
          <xsd:enumeration value="Remote Site"/>
        </xsd:restriction>
      </xsd:simpleType>
    </xsd:element>
    <xsd:element name="Technology_x0020_Focus" ma:index="24" ma:displayName="Technology Focus" ma:format="Dropdown" ma:internalName="Technology_x0020_Focus">
      <xsd:simpleType>
        <xsd:restriction base="dms:Choice">
          <xsd:enumeration value="Data"/>
          <xsd:enumeration value="Datacenter"/>
          <xsd:enumeration value="Extranet"/>
          <xsd:enumeration value="IIoT"/>
          <xsd:enumeration value="IPT"/>
          <xsd:enumeration value="Local Area Network"/>
          <xsd:enumeration value="Management &amp; Monitoring Tools"/>
          <xsd:enumeration value="Network Hardware/Devices"/>
          <xsd:enumeration value="Network Security"/>
          <xsd:enumeration value="RF"/>
          <xsd:enumeration value="Wide Area Network"/>
          <xsd:enumeration value="WiFi"/>
        </xsd:restriction>
      </xsd:simpleType>
    </xsd:element>
    <xsd:element name="Facility_x0020_Code" ma:index="25" ma:displayName="Facility Code" ma:format="Dropdown" ma:internalName="Facility_x0020_Code">
      <xsd:simpleType>
        <xsd:union memberTypes="dms:Text">
          <xsd:simpleType>
            <xsd:restriction base="dms:Choice">
              <xsd:enumeration value="ALL"/>
              <xsd:enumeration value="AMSQX3"/>
              <xsd:enumeration value="BCO"/>
              <xsd:enumeration value="BDO"/>
              <xsd:enumeration value="BK9525"/>
              <xsd:enumeration value="BO1930"/>
              <xsd:enumeration value="BOG"/>
              <xsd:enumeration value="BRE221"/>
              <xsd:enumeration value="BRECA"/>
              <xsd:enumeration value="BUE355"/>
              <xsd:enumeration value="BUEAR"/>
              <xsd:enumeration value="BZRJO"/>
              <xsd:enumeration value="CAPEHO"/>
              <xsd:enumeration value="CARVE"/>
              <xsd:enumeration value="CHVPK"/>
              <xsd:enumeration value="DAL717"/>
              <xsd:enumeration value="DALQX3"/>
              <xsd:enumeration value="F08820"/>
              <xsd:enumeration value="GUA610"/>
              <xsd:enumeration value="HOU150"/>
              <xsd:enumeration value="HOU517"/>
              <xsd:enumeration value="HT1080"/>
              <xsd:enumeration value="HUMTX"/>
              <xsd:enumeration value="KAH"/>
              <xsd:enumeration value="KAPHI"/>
              <xsd:enumeration value="KER12"/>
              <xsd:enumeration value="KERTX"/>
              <xsd:enumeration value="KHHQ"/>
              <xsd:enumeration value="KIT133"/>
              <xsd:enumeration value="KIT148"/>
              <xsd:enumeration value="KIT366"/>
              <xsd:enumeration value="LAGNR"/>
              <xsd:enumeration value="LAXQX1"/>
              <xsd:enumeration value="LONPWG"/>
              <xsd:enumeration value="LOR120"/>
              <xsd:enumeration value="LOU440"/>
              <xsd:enumeration value="LOU940"/>
              <xsd:enumeration value="LOV609"/>
              <xsd:enumeration value="LOV807"/>
              <xsd:enumeration value="LUAA"/>
              <xsd:enumeration value="MONR15"/>
              <xsd:enumeration value="PAN"/>
              <xsd:enumeration value="PNC01"/>
              <xsd:enumeration value="RA4RIA"/>
              <xsd:enumeration value="SAN520"/>
              <xsd:enumeration value="SGDC1"/>
              <xsd:enumeration value="SINQX1"/>
              <xsd:enumeration value="SJCQX1"/>
              <xsd:enumeration value="SPS"/>
              <xsd:enumeration value="TOKQX4"/>
              <xsd:enumeration value="ZARF"/>
              <xsd:enumeration value="N/A"/>
            </xsd:restriction>
          </xsd:simpleType>
        </xsd:union>
      </xsd:simpleType>
    </xsd:element>
    <xsd:element name="MediaServiceMetadata" ma:index="26" nillable="true" ma:displayName="MediaServiceMetadata" ma:hidden="true" ma:internalName="MediaServiceMetadata" ma:readOnly="true">
      <xsd:simpleType>
        <xsd:restriction base="dms:Note"/>
      </xsd:simpleType>
    </xsd:element>
    <xsd:element name="MediaServiceFastMetadata" ma:index="27" nillable="true" ma:displayName="MediaServiceFastMetadata" ma:hidden="true" ma:internalName="MediaServiceFastMetadata" ma:readOnly="true">
      <xsd:simpleType>
        <xsd:restriction base="dms:Note"/>
      </xsd:simpleType>
    </xsd:element>
    <xsd:element name="Document_x0020_Category" ma:index="28" ma:displayName="Document Category" ma:format="Dropdown" ma:internalName="Document_x0020_Category">
      <xsd:simpleType>
        <xsd:restriction base="dms:Choice">
          <xsd:enumeration value="Compliance Procedure"/>
          <xsd:enumeration value="Management Systems"/>
          <xsd:enumeration value="Network As-Built"/>
          <xsd:enumeration value="Network Design &amp; Policies"/>
          <xsd:enumeration value="Network Provisioning"/>
          <xsd:enumeration value="Network Toolkit"/>
          <xsd:enumeration value="Operating Procedure"/>
          <xsd:enumeration value="Service Guides"/>
          <xsd:enumeration value="Service Provisioning"/>
          <xsd:enumeration value="Standards and Template"/>
          <xsd:enumeration value="Training"/>
        </xsd:restriction>
      </xsd:simpleType>
    </xsd:element>
    <xsd:element name="Associated_x0020_Project" ma:index="29" ma:displayName="Associated Project" ma:format="Dropdown" ma:internalName="Associated_x0020_Project">
      <xsd:simpleType>
        <xsd:restriction base="dms:Choice">
          <xsd:enumeration value="N/A"/>
          <xsd:enumeration value="Core"/>
          <xsd:enumeration value="RWAN"/>
          <xsd:enumeration value="APDC"/>
          <xsd:enumeration value="DC2DC"/>
          <xsd:enumeration value="IP Trunking"/>
          <xsd:enumeration value="IPV6"/>
          <xsd:enumeration value="M2M"/>
          <xsd:enumeration value="MSR"/>
          <xsd:enumeration value="QoS"/>
          <xsd:enumeration value="Extranet Redesign"/>
          <xsd:enumeration value="GNOSR"/>
          <xsd:enumeration value="Enhanced Network Transport"/>
          <xsd:enumeration value="Data Center Optimization"/>
          <xsd:enumeration value="Cisco OS Upgrade"/>
          <xsd:enumeration value="UAS"/>
        </xsd:restriction>
      </xsd:simpleType>
    </xsd:element>
    <xsd:element name="Region" ma:index="32" ma:displayName="Region" ma:format="Dropdown" ma:internalName="Region">
      <xsd:simpleType>
        <xsd:restriction base="dms:Choice">
          <xsd:enumeration value="All"/>
          <xsd:enumeration value="Africa"/>
          <xsd:enumeration value="Asia"/>
          <xsd:enumeration value="Australia"/>
          <xsd:enumeration value="Europe"/>
          <xsd:enumeration value="Central America"/>
          <xsd:enumeration value="North America"/>
          <xsd:enumeration value="South America"/>
        </xsd:restriction>
      </xsd:simpleType>
    </xsd:element>
    <xsd:element name="Core_x0020_Documentation" ma:index="33" ma:displayName="Core Documentation" ma:description="Is this a Core Document?" ma:format="Dropdown" ma:internalName="Core_x0020_Documentation">
      <xsd:simpleType>
        <xsd:restriction base="dms:Choice">
          <xsd:enumeration value="Yes"/>
          <xsd:enumeration value="No"/>
        </xsd:restriction>
      </xsd:simpleType>
    </xsd:element>
    <xsd:element name="MediaServiceAutoKeyPoints" ma:index="34" nillable="true" ma:displayName="MediaServiceAutoKeyPoints" ma:hidden="true" ma:internalName="MediaServiceAutoKeyPoints" ma:readOnly="true">
      <xsd:simpleType>
        <xsd:restriction base="dms:Note"/>
      </xsd:simpleType>
    </xsd:element>
    <xsd:element name="MediaServiceKeyPoints" ma:index="35"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1d2a642-8c0e-4be2-8d73-f78f3a48523f" elementFormDefault="qualified">
    <xsd:import namespace="http://schemas.microsoft.com/office/2006/documentManagement/types"/>
    <xsd:import namespace="http://schemas.microsoft.com/office/infopath/2007/PartnerControls"/>
    <xsd:element name="SharedWithUsers" ma:index="3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axOccurs="1" ma:index="2" ma:displayName="Author"/>
        <xsd:element ref="dcterms:created" minOccurs="0" maxOccurs="1"/>
        <xsd:element ref="dc:identifier" minOccurs="0" maxOccurs="1"/>
        <xsd:element name="contentType" minOccurs="0" maxOccurs="1" type="xsd:string" ma:index="18" ma:displayName="Content Type"/>
        <xsd:element ref="dc:title"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36E8096-A6CB-41F4-9CD5-D828B46F59A0}">
  <ds:schemaRefs>
    <ds:schemaRef ds:uri="http://schemas.microsoft.com/office/2006/documentManagement/types"/>
    <ds:schemaRef ds:uri="11e2669d-abce-43e6-af1f-34e8d9b13539"/>
    <ds:schemaRef ds:uri="a1d2a642-8c0e-4be2-8d73-f78f3a48523f"/>
    <ds:schemaRef ds:uri="http://purl.org/dc/elements/1.1/"/>
    <ds:schemaRef ds:uri="http://schemas.microsoft.com/office/2006/metadata/properties"/>
    <ds:schemaRef ds:uri="http://schemas.microsoft.com/office/infopath/2007/PartnerControls"/>
    <ds:schemaRef ds:uri="http://schemas.microsoft.com/sharepoint/v3"/>
    <ds:schemaRef ds:uri="b9f1db13-37d0-4e45-944c-b878e8992007"/>
    <ds:schemaRef ds:uri="http://purl.org/dc/terms/"/>
    <ds:schemaRef ds:uri="http://schemas.openxmlformats.org/package/2006/metadata/core-properties"/>
    <ds:schemaRef ds:uri="e6bb6fa4-9c23-4df5-9c72-0315fa8fef6d"/>
    <ds:schemaRef ds:uri="fae423db-7aea-40a7-8e81-2a365c617d65"/>
    <ds:schemaRef ds:uri="http://www.w3.org/XML/1998/namespace"/>
    <ds:schemaRef ds:uri="http://purl.org/dc/dcmitype/"/>
  </ds:schemaRefs>
</ds:datastoreItem>
</file>

<file path=customXml/itemProps2.xml><?xml version="1.0" encoding="utf-8"?>
<ds:datastoreItem xmlns:ds="http://schemas.openxmlformats.org/officeDocument/2006/customXml" ds:itemID="{F642EC0D-B6BC-4FC2-B69D-309B9B12F4BE}">
  <ds:schemaRefs>
    <ds:schemaRef ds:uri="http://schemas.microsoft.com/office/2006/metadata/longProperties"/>
  </ds:schemaRefs>
</ds:datastoreItem>
</file>

<file path=customXml/itemProps3.xml><?xml version="1.0" encoding="utf-8"?>
<ds:datastoreItem xmlns:ds="http://schemas.openxmlformats.org/officeDocument/2006/customXml" ds:itemID="{DF77A54F-07C7-4133-9C27-F088B4400BBB}">
  <ds:schemaRefs>
    <ds:schemaRef ds:uri="http://schemas.microsoft.com/sharepoint/v3/contenttype/forms"/>
  </ds:schemaRefs>
</ds:datastoreItem>
</file>

<file path=customXml/itemProps4.xml><?xml version="1.0" encoding="utf-8"?>
<ds:datastoreItem xmlns:ds="http://schemas.openxmlformats.org/officeDocument/2006/customXml" ds:itemID="{5A9E9996-B313-44C9-87A7-4DD23F6347EE}">
  <ds:schemaRefs>
    <ds:schemaRef ds:uri="Microsoft.SharePoint.Taxonomy.ContentTypeSync"/>
  </ds:schemaRefs>
</ds:datastoreItem>
</file>

<file path=customXml/itemProps5.xml><?xml version="1.0" encoding="utf-8"?>
<ds:datastoreItem xmlns:ds="http://schemas.openxmlformats.org/officeDocument/2006/customXml" ds:itemID="{893E36FA-3C85-4BD2-B14C-0A4AE07827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fae423db-7aea-40a7-8e81-2a365c617d65"/>
    <ds:schemaRef ds:uri="e6bb6fa4-9c23-4df5-9c72-0315fa8fef6d"/>
    <ds:schemaRef ds:uri="b9f1db13-37d0-4e45-944c-b878e8992007"/>
    <ds:schemaRef ds:uri="11e2669d-abce-43e6-af1f-34e8d9b13539"/>
    <ds:schemaRef ds:uri="a1d2a642-8c0e-4be2-8d73-f78f3a48523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vt:i4>
      </vt:variant>
    </vt:vector>
  </HeadingPairs>
  <TitlesOfParts>
    <vt:vector size="12" baseType="lpstr">
      <vt:lpstr>Details</vt:lpstr>
      <vt:lpstr>MX204 Base Config</vt:lpstr>
      <vt:lpstr>MX240 Base Config</vt:lpstr>
      <vt:lpstr>SNMP</vt:lpstr>
      <vt:lpstr>Verification</vt:lpstr>
      <vt:lpstr>Version History</vt:lpstr>
      <vt:lpstr>FacCode</vt:lpstr>
      <vt:lpstr>FXP0IP</vt:lpstr>
      <vt:lpstr>FXP0IPMASK</vt:lpstr>
      <vt:lpstr>Gateway</vt:lpstr>
      <vt:lpstr>Hostname</vt:lpstr>
      <vt:lpstr>LoopbackIP</vt:lpstr>
    </vt:vector>
  </TitlesOfParts>
  <Company>Chevron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Core RI GUP Template</dc:title>
  <dc:creator>Steve Hodgkiss</dc:creator>
  <cp:lastModifiedBy>Hodgkiss, Steve G</cp:lastModifiedBy>
  <dcterms:created xsi:type="dcterms:W3CDTF">2006-01-19T11:00:06Z</dcterms:created>
  <dcterms:modified xsi:type="dcterms:W3CDTF">2021-06-09T11:25:44Z</dcterms:modified>
  <cp:category>Global Core, WAN, MPLS, Management</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General Document</vt:lpwstr>
  </property>
  <property fmtid="{D5CDD505-2E9C-101B-9397-08002B2CF9AE}" pid="3" name="_dlc_DocId">
    <vt:lpwstr>4CWMMVTSRM3J-76-97</vt:lpwstr>
  </property>
  <property fmtid="{D5CDD505-2E9C-101B-9397-08002B2CF9AE}" pid="4" name="_dlc_DocIdItemGuid">
    <vt:lpwstr>ffba4223-d005-4106-a4d4-8849391af8f9</vt:lpwstr>
  </property>
  <property fmtid="{D5CDD505-2E9C-101B-9397-08002B2CF9AE}" pid="5" name="_dlc_DocIdUrl">
    <vt:lpwstr>https://collab001-wfc.sp.chevron.net/sites/ITCLonEhub/networks/_layouts/DocIdRedir.aspx?ID=4CWMMVTSRM3J-76-97, 4CWMMVTSRM3J-76-97</vt:lpwstr>
  </property>
  <property fmtid="{D5CDD505-2E9C-101B-9397-08002B2CF9AE}" pid="6" name="ContentTypeId">
    <vt:lpwstr>0x010100FBB1BDE89FB27C449A0E29AF421E312401002738AD58B4610A478E0A93891DDB1B97</vt:lpwstr>
  </property>
  <property fmtid="{D5CDD505-2E9C-101B-9397-08002B2CF9AE}" pid="7" name="xd_Signature">
    <vt:bool>false</vt:bool>
  </property>
  <property fmtid="{D5CDD505-2E9C-101B-9397-08002B2CF9AE}" pid="8" name="xd_ProgID">
    <vt:lpwstr/>
  </property>
  <property fmtid="{D5CDD505-2E9C-101B-9397-08002B2CF9AE}" pid="9" name="TemplateUrl">
    <vt:lpwstr/>
  </property>
  <property fmtid="{D5CDD505-2E9C-101B-9397-08002B2CF9AE}" pid="10" name="_dlc_policyId">
    <vt:lpwstr>/sites/naspark/SPARK Library</vt:lpwstr>
  </property>
  <property fmtid="{D5CDD505-2E9C-101B-9397-08002B2CF9AE}" pid="11" name="ItemRetentionFormula">
    <vt:lpwstr/>
  </property>
  <property fmtid="{D5CDD505-2E9C-101B-9397-08002B2CF9AE}" pid="12" name="Chevron Organization">
    <vt:lpwstr>3;#ITC|ecbec78b-50a1-4ef1-8ccc-34a4e3517e4c</vt:lpwstr>
  </property>
  <property fmtid="{D5CDD505-2E9C-101B-9397-08002B2CF9AE}" pid="13" name="_dlc_ExpireDate">
    <vt:filetime>2019-06-12T15:52:05Z</vt:filetime>
  </property>
  <property fmtid="{D5CDD505-2E9C-101B-9397-08002B2CF9AE}" pid="14" name="p01231d88c934046812dbe39cf15430a">
    <vt:lpwstr>ITC|ecbec78b-50a1-4ef1-8ccc-34a4e3517e4c</vt:lpwstr>
  </property>
  <property fmtid="{D5CDD505-2E9C-101B-9397-08002B2CF9AE}" pid="15" name="IP Classification">
    <vt:lpwstr>Company Confidential</vt:lpwstr>
  </property>
  <property fmtid="{D5CDD505-2E9C-101B-9397-08002B2CF9AE}" pid="16" name="DLCPolicyLabelValue">
    <vt:lpwstr>© 2016 Chevron U.S.A., Inc. All rights reserved.</vt:lpwstr>
  </property>
  <property fmtid="{D5CDD505-2E9C-101B-9397-08002B2CF9AE}" pid="17" name="WorkflowChangePath">
    <vt:lpwstr>7a135895-d87a-433e-b88d-5938e0562a05,17;</vt:lpwstr>
  </property>
  <property fmtid="{D5CDD505-2E9C-101B-9397-08002B2CF9AE}" pid="18" name="DLCPolicyLabelClientValue">
    <vt:lpwstr>© 2016 Chevron U.S.A., Inc. All rights reserved.</vt:lpwstr>
  </property>
  <property fmtid="{D5CDD505-2E9C-101B-9397-08002B2CF9AE}" pid="19" name="MSIP_Label_07581a45-ebc1-4f92-9275-5bfe010ae689_Enabled">
    <vt:lpwstr>true</vt:lpwstr>
  </property>
  <property fmtid="{D5CDD505-2E9C-101B-9397-08002B2CF9AE}" pid="20" name="MSIP_Label_07581a45-ebc1-4f92-9275-5bfe010ae689_SetDate">
    <vt:lpwstr>2019-12-04T21:30:32Z</vt:lpwstr>
  </property>
  <property fmtid="{D5CDD505-2E9C-101B-9397-08002B2CF9AE}" pid="21" name="MSIP_Label_07581a45-ebc1-4f92-9275-5bfe010ae689_Method">
    <vt:lpwstr>Standard</vt:lpwstr>
  </property>
  <property fmtid="{D5CDD505-2E9C-101B-9397-08002B2CF9AE}" pid="22" name="MSIP_Label_07581a45-ebc1-4f92-9275-5bfe010ae689_Name">
    <vt:lpwstr>Company Confidential</vt:lpwstr>
  </property>
  <property fmtid="{D5CDD505-2E9C-101B-9397-08002B2CF9AE}" pid="23" name="MSIP_Label_07581a45-ebc1-4f92-9275-5bfe010ae689_SiteId">
    <vt:lpwstr>fd799da1-bfc1-4234-a91c-72b3a1cb9e26</vt:lpwstr>
  </property>
  <property fmtid="{D5CDD505-2E9C-101B-9397-08002B2CF9AE}" pid="24" name="MSIP_Label_07581a45-ebc1-4f92-9275-5bfe010ae689_ActionId">
    <vt:lpwstr>a9ce6231-05ab-4a5c-a2bd-0000970fed67</vt:lpwstr>
  </property>
  <property fmtid="{D5CDD505-2E9C-101B-9397-08002B2CF9AE}" pid="25" name="MSIP_Label_07581a45-ebc1-4f92-9275-5bfe010ae689_ContentBits">
    <vt:lpwstr>0</vt:lpwstr>
  </property>
  <property fmtid="{D5CDD505-2E9C-101B-9397-08002B2CF9AE}" pid="26" name="Chevron Discipline">
    <vt:lpwstr/>
  </property>
  <property fmtid="{D5CDD505-2E9C-101B-9397-08002B2CF9AE}" pid="27" name="Retention Category">
    <vt:lpwstr>6;#Reference Document|b32bd135-7ebe-49d0-bfcc-ca766c5e9989</vt:lpwstr>
  </property>
</Properties>
</file>