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osg\Downloads\"/>
    </mc:Choice>
  </mc:AlternateContent>
  <xr:revisionPtr revIDLastSave="0" documentId="8_{B9C0AE34-E33D-4652-B0CF-3C2A5DD9781A}" xr6:coauthVersionLast="46" xr6:coauthVersionMax="46" xr10:uidLastSave="{00000000-0000-0000-0000-000000000000}"/>
  <bookViews>
    <workbookView xWindow="-120" yWindow="-120" windowWidth="29040" windowHeight="15840" tabRatio="787" xr2:uid="{00000000-000D-0000-FFFF-FFFF00000000}"/>
  </bookViews>
  <sheets>
    <sheet name="Details" sheetId="1" r:id="rId1"/>
    <sheet name="Config Part 1" sheetId="16" r:id="rId2"/>
    <sheet name="Config Part 2" sheetId="21" r:id="rId3"/>
    <sheet name="Verification" sheetId="19" r:id="rId4"/>
    <sheet name="Version History" sheetId="10" r:id="rId5"/>
    <sheet name="Routers" sheetId="18" r:id="rId6"/>
  </sheets>
  <functionGroups builtInGroupCount="19"/>
  <externalReferences>
    <externalReference r:id="rId7"/>
  </externalReferences>
  <definedNames>
    <definedName name="aeInterface">Details!$B$29</definedName>
    <definedName name="AEip">Details!$B$31</definedName>
    <definedName name="CoreRouterNames" localSheetId="2">#REF!</definedName>
    <definedName name="CoreRouterNames">#REF!</definedName>
    <definedName name="FacCode">Details!$H$26</definedName>
    <definedName name="Gateway" localSheetId="2">Details!#REF!</definedName>
    <definedName name="Gateway">Details!#REF!</definedName>
    <definedName name="GatewayIP" localSheetId="2">#REF!</definedName>
    <definedName name="GatewayIP">#REF!</definedName>
    <definedName name="HiPortNum" localSheetId="2">Details!#REF!</definedName>
    <definedName name="HiPortNum">Details!#REF!</definedName>
    <definedName name="Hostname">Details!$B$25</definedName>
    <definedName name="IPAddr" localSheetId="2">Details!#REF!</definedName>
    <definedName name="IPAddr">Details!#REF!</definedName>
    <definedName name="ISOAddress">Details!$B$34</definedName>
    <definedName name="LocCity" localSheetId="2">Details!#REF!</definedName>
    <definedName name="LocCity">Details!#REF!</definedName>
    <definedName name="LocCountry" localSheetId="2">Details!#REF!</definedName>
    <definedName name="LocCountry">Details!#REF!</definedName>
    <definedName name="LocInfo">Details!$H$34</definedName>
    <definedName name="LocRegion" localSheetId="2">Details!#REF!</definedName>
    <definedName name="LocRegion">Details!#REF!</definedName>
    <definedName name="LocStreet" localSheetId="2">Details!#REF!</definedName>
    <definedName name="LocStreet">Details!#REF!</definedName>
    <definedName name="LongRouterNames" localSheetId="2">Table_owssvr__1[Long name]</definedName>
    <definedName name="LongRouterNames">Table_owssvr__1[Long name]</definedName>
    <definedName name="LoopbackIP">Details!$B$26</definedName>
    <definedName name="Netflow1" localSheetId="2">#REF!</definedName>
    <definedName name="Netflow1">#REF!</definedName>
    <definedName name="Netflow2" localSheetId="2">#REF!</definedName>
    <definedName name="Netflow2">#REF!</definedName>
    <definedName name="NetflowPort1" localSheetId="2">#REF!</definedName>
    <definedName name="NetflowPort1">#REF!</definedName>
    <definedName name="NetflowPort2" localSheetId="2">#REF!</definedName>
    <definedName name="NetflowPort2">#REF!</definedName>
    <definedName name="NMS_ACS1" localSheetId="2">#REF!</definedName>
    <definedName name="NMS_ACS1">#REF!</definedName>
    <definedName name="NMS_ACS2" localSheetId="2">#REF!</definedName>
    <definedName name="NMS_ACS2">#REF!</definedName>
    <definedName name="NMS_ACS3" localSheetId="2">#REF!</definedName>
    <definedName name="NMS_ACS3">#REF!</definedName>
    <definedName name="NMS_ACS4" localSheetId="2">#REF!</definedName>
    <definedName name="NMS_ACS4">#REF!</definedName>
    <definedName name="NMS_DNS1" localSheetId="2">#REF!</definedName>
    <definedName name="NMS_DNS1">#REF!</definedName>
    <definedName name="NMS_DNS2" localSheetId="2">#REF!</definedName>
    <definedName name="NMS_DNS2">#REF!</definedName>
    <definedName name="NMS_DNS3" localSheetId="2">#REF!</definedName>
    <definedName name="NMS_DNS3">#REF!</definedName>
    <definedName name="NMS_NTP1" localSheetId="2">#REF!</definedName>
    <definedName name="NMS_NTP1">#REF!</definedName>
    <definedName name="NMS_NTP2" localSheetId="2">#REF!</definedName>
    <definedName name="NMS_NTP2">#REF!</definedName>
    <definedName name="NMS_NTP3" localSheetId="2">#REF!</definedName>
    <definedName name="NMS_NTP3">#REF!</definedName>
    <definedName name="NMS_NTP4" localSheetId="2">#REF!</definedName>
    <definedName name="NMS_NTP4">#REF!</definedName>
    <definedName name="Offset" localSheetId="2">Details!#REF!</definedName>
    <definedName name="Offset">Details!#REF!</definedName>
    <definedName name="owssvr__1" localSheetId="5" hidden="1">Routers!$A$1:$J$122</definedName>
    <definedName name="Password" localSheetId="2">#REF!</definedName>
    <definedName name="Password">#REF!</definedName>
    <definedName name="physicalInterface">Details!$B$28</definedName>
    <definedName name="Port10desc" localSheetId="2">#REF!</definedName>
    <definedName name="Port10desc">#REF!</definedName>
    <definedName name="Port1desc" localSheetId="2">#REF!</definedName>
    <definedName name="Port1desc">#REF!</definedName>
    <definedName name="Port2desc" localSheetId="2">#REF!</definedName>
    <definedName name="Port2desc">#REF!</definedName>
    <definedName name="Port3desc" localSheetId="2">#REF!</definedName>
    <definedName name="Port3desc">#REF!</definedName>
    <definedName name="Port4desc" localSheetId="2">#REF!</definedName>
    <definedName name="Port4desc">#REF!</definedName>
    <definedName name="Port5desc" localSheetId="2">#REF!</definedName>
    <definedName name="Port5desc">#REF!</definedName>
    <definedName name="Port6desc" localSheetId="2">#REF!</definedName>
    <definedName name="Port6desc">#REF!</definedName>
    <definedName name="Port7desc" localSheetId="2">#REF!</definedName>
    <definedName name="Port7desc">#REF!</definedName>
    <definedName name="Port8desc" localSheetId="2">#REF!</definedName>
    <definedName name="Port8desc">#REF!</definedName>
    <definedName name="Port9desc" localSheetId="2">#REF!</definedName>
    <definedName name="Port9desc">#REF!</definedName>
    <definedName name="PortType">'[1]Switch Details'!$B$19</definedName>
    <definedName name="RackNum" localSheetId="2">Details!#REF!</definedName>
    <definedName name="RackNum">Details!#REF!</definedName>
    <definedName name="Region" localSheetId="2">Details!#REF!</definedName>
    <definedName name="Region">Details!#REF!</definedName>
    <definedName name="RegionMsg" localSheetId="2">#REF!</definedName>
    <definedName name="RegionMsg">#REF!</definedName>
    <definedName name="Regions" localSheetId="2">#REF!</definedName>
    <definedName name="Regions">#REF!</definedName>
    <definedName name="RULocation" localSheetId="2">Details!#REF!</definedName>
    <definedName name="RULocation">Details!#REF!</definedName>
    <definedName name="Secret" localSheetId="2">#REF!</definedName>
    <definedName name="Secret">#REF!</definedName>
    <definedName name="SiteAddress" localSheetId="2">Details!#REF!</definedName>
    <definedName name="SiteAddress">Details!#REF!</definedName>
    <definedName name="SiteType" localSheetId="2">Details!#REF!</definedName>
    <definedName name="SiteType">Details!#REF!</definedName>
    <definedName name="SNMP2RO" localSheetId="2">#REF!</definedName>
    <definedName name="SNMP2RO">#REF!</definedName>
    <definedName name="SNMP2ROACL" localSheetId="2">#REF!</definedName>
    <definedName name="SNMP2ROACL">#REF!</definedName>
    <definedName name="SNMP2RONet1" localSheetId="2">#REF!</definedName>
    <definedName name="SNMP2RONet1">#REF!</definedName>
    <definedName name="SNMP2RONet2" localSheetId="2">#REF!</definedName>
    <definedName name="SNMP2RONet2">#REF!</definedName>
    <definedName name="SNMP2RONet3" localSheetId="2">#REF!</definedName>
    <definedName name="SNMP2RONet3">#REF!</definedName>
    <definedName name="SNMP2RW" localSheetId="2">#REF!</definedName>
    <definedName name="SNMP2RW">#REF!</definedName>
    <definedName name="SNMPContact" localSheetId="2">#REF!</definedName>
    <definedName name="SNMPContact">#REF!</definedName>
    <definedName name="SNMPRO" localSheetId="2">#REF!</definedName>
    <definedName name="SNMPRO">#REF!</definedName>
    <definedName name="SNMPRO1" localSheetId="2">#REF!</definedName>
    <definedName name="SNMPRO1">#REF!</definedName>
    <definedName name="SNMPRO2" localSheetId="2">#REF!</definedName>
    <definedName name="SNMPRO2">#REF!</definedName>
    <definedName name="SNMPRO3" localSheetId="2">#REF!</definedName>
    <definedName name="SNMPRO3">#REF!</definedName>
    <definedName name="SNMPRO4" localSheetId="2">#REF!</definedName>
    <definedName name="SNMPRO4">#REF!</definedName>
    <definedName name="SNMPRO5" localSheetId="2">#REF!</definedName>
    <definedName name="SNMPRO5">#REF!</definedName>
    <definedName name="SNMPRO6" localSheetId="2">#REF!</definedName>
    <definedName name="SNMPRO6">#REF!</definedName>
    <definedName name="SNMPRO7" localSheetId="2">#REF!</definedName>
    <definedName name="SNMPRO7">#REF!</definedName>
    <definedName name="SNMPRO8" localSheetId="2">#REF!</definedName>
    <definedName name="SNMPRO8">#REF!</definedName>
    <definedName name="SNMPRO9" localSheetId="2">#REF!</definedName>
    <definedName name="SNMPRO9">#REF!</definedName>
    <definedName name="SNMPROACL" localSheetId="2">#REF!</definedName>
    <definedName name="SNMPROACL">#REF!</definedName>
    <definedName name="SNMPRW" localSheetId="2">#REF!</definedName>
    <definedName name="SNMPRW">#REF!</definedName>
    <definedName name="SNMPTraps1" localSheetId="2">#REF!</definedName>
    <definedName name="SNMPTraps1">#REF!</definedName>
    <definedName name="SNMPTraps2" localSheetId="2">#REF!</definedName>
    <definedName name="SNMPTraps2">#REF!</definedName>
    <definedName name="SNMPTraps3" localSheetId="2">#REF!</definedName>
    <definedName name="SNMPTraps3">#REF!</definedName>
    <definedName name="SNMPTrapSrv1" localSheetId="2">#REF!</definedName>
    <definedName name="SNMPTrapSrv1">#REF!</definedName>
    <definedName name="SNMPTrapSrv2" localSheetId="2">#REF!</definedName>
    <definedName name="SNMPTrapSrv2">#REF!</definedName>
    <definedName name="SNMPTrapSrv3" localSheetId="2">#REF!</definedName>
    <definedName name="SNMPTrapSrv3">#REF!</definedName>
    <definedName name="SNMPV3ACL1" localSheetId="2">#REF!</definedName>
    <definedName name="SNMPV3ACL1">#REF!</definedName>
    <definedName name="SNMPV3ACL2" localSheetId="2">#REF!</definedName>
    <definedName name="SNMPV3ACL2">#REF!</definedName>
    <definedName name="SNMPV3GRP1" localSheetId="2">#REF!</definedName>
    <definedName name="SNMPV3GRP1">#REF!</definedName>
    <definedName name="SNMPV3Grp2" localSheetId="2">#REF!</definedName>
    <definedName name="SNMPV3Grp2">#REF!</definedName>
    <definedName name="SNMPV3ROPASS1" localSheetId="2">#REF!</definedName>
    <definedName name="SNMPV3ROPASS1">#REF!</definedName>
    <definedName name="SNMPV3ROPASS2" localSheetId="2">#REF!</definedName>
    <definedName name="SNMPV3ROPASS2">#REF!</definedName>
    <definedName name="SNMPV3RWPASS1" localSheetId="2">#REF!</definedName>
    <definedName name="SNMPV3RWPASS1">#REF!</definedName>
    <definedName name="SNMPV3RWPASS2" localSheetId="2">#REF!</definedName>
    <definedName name="SNMPV3RWPASS2">#REF!</definedName>
    <definedName name="SNMPV3USER1" localSheetId="2">#REF!</definedName>
    <definedName name="SNMPV3USER1">#REF!</definedName>
    <definedName name="SNMPV3USER2" localSheetId="2">#REF!</definedName>
    <definedName name="SNMPV3USER2">#REF!</definedName>
    <definedName name="SubnetMask" localSheetId="2">Details!#REF!</definedName>
    <definedName name="SubnetMask">Details!#REF!</definedName>
    <definedName name="SubnetSize" localSheetId="2">Details!#REF!</definedName>
    <definedName name="SubnetSize">Details!#REF!</definedName>
    <definedName name="SwitchMgmtIP" localSheetId="2">#REF!</definedName>
    <definedName name="SwitchMgmtIP">#REF!</definedName>
    <definedName name="SwitchModel">'[1]Switch Details'!$B$21</definedName>
    <definedName name="Syslog1" localSheetId="2">#REF!</definedName>
    <definedName name="Syslog1">#REF!</definedName>
    <definedName name="Syslog2" localSheetId="2">#REF!</definedName>
    <definedName name="Syslog2">#REF!</definedName>
    <definedName name="Syslog3" localSheetId="2">#REF!</definedName>
    <definedName name="Syslog3">#REF!</definedName>
    <definedName name="Syslog4" localSheetId="2">#REF!</definedName>
    <definedName name="Syslog4">#REF!</definedName>
    <definedName name="TimeZone" localSheetId="2">Details!#REF!</definedName>
    <definedName name="TimeZone">Details!#REF!</definedName>
    <definedName name="VLAN">Details!$B$30</definedName>
    <definedName name="Voyence1" localSheetId="2">#REF!</definedName>
    <definedName name="Voyence1">#REF!</definedName>
    <definedName name="Voyence2" localSheetId="2">#REF!</definedName>
    <definedName name="Voyence2">#REF!</definedName>
    <definedName name="Voyence3" localSheetId="2">#REF!</definedName>
    <definedName name="Voyence3">#REF!</definedName>
    <definedName name="Voyence4" localSheetId="2">#REF!</definedName>
    <definedName name="Voyence4">#REF!</definedName>
    <definedName name="VoyenceContainer" localSheetId="2">Details!#REF!</definedName>
    <definedName name="VoyenceContainer">Details!#REF!</definedName>
    <definedName name="VTPDomain">'[1]Switch Details'!$B$18</definedName>
    <definedName name="VTYNet1" localSheetId="2">#REF!</definedName>
    <definedName name="VTYNet1">#REF!</definedName>
    <definedName name="VTYNet10" localSheetId="2">#REF!</definedName>
    <definedName name="VTYNet10">#REF!</definedName>
    <definedName name="VTYNet2" localSheetId="2">#REF!</definedName>
    <definedName name="VTYNet2">#REF!</definedName>
    <definedName name="VTYNet3" localSheetId="2">#REF!</definedName>
    <definedName name="VTYNet3">#REF!</definedName>
    <definedName name="VTYNet4" localSheetId="2">#REF!</definedName>
    <definedName name="VTYNet4">#REF!</definedName>
    <definedName name="VTYNet5" localSheetId="2">#REF!</definedName>
    <definedName name="VTYNet5">#REF!</definedName>
    <definedName name="VTYNet6" localSheetId="2">#REF!</definedName>
    <definedName name="VTYNet6">#REF!</definedName>
    <definedName name="VTYNet7" localSheetId="2">#REF!</definedName>
    <definedName name="VTYNet7">#REF!</definedName>
    <definedName name="VTYNet8" localSheetId="2">#REF!</definedName>
    <definedName name="VTYNet8">#REF!</definedName>
    <definedName name="VTYNet9" localSheetId="2">#REF!</definedName>
    <definedName name="VTYNet9">#REF!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69" i="16" l="1"/>
  <c r="A64" i="16" l="1"/>
  <c r="A63" i="16"/>
  <c r="A62" i="16"/>
  <c r="A72" i="16"/>
  <c r="A71" i="16"/>
  <c r="C8" i="19"/>
  <c r="C6" i="19" l="1"/>
  <c r="C5" i="19"/>
  <c r="A6" i="19" l="1"/>
  <c r="A5" i="19"/>
  <c r="A4" i="16" l="1"/>
  <c r="A61" i="16" l="1"/>
  <c r="A56" i="16"/>
  <c r="A49" i="16" l="1"/>
  <c r="A81" i="16" l="1"/>
  <c r="A58" i="16"/>
  <c r="A74" i="16"/>
  <c r="D31" i="1" a="1"/>
  <c r="D34" i="1" a="1"/>
  <c r="C26" i="1"/>
  <c r="D31" i="1" l="1"/>
  <c r="E31" i="1"/>
  <c r="F31" i="1" s="1"/>
  <c r="G34" i="1"/>
  <c r="F34" i="1"/>
  <c r="E34" i="1"/>
  <c r="D34" i="1"/>
  <c r="C31" i="1"/>
  <c r="B34" i="1" l="1"/>
  <c r="A52" i="1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E26A877-2B67-4479-886A-0505F129BDC8}" keepAlive="1" name="PE Routers" description="List of MPLS PE routers from Sharepoint" type="5" refreshedVersion="6" minRefreshableVersion="3" background="1" saveData="1">
    <dbPr connection="Provider=Microsoft.Office.List.OLEDB.2.0;Data Source=&quot;&quot;;ApplicationName=Excel;Version=12.0.0.0" command="&lt;LIST&gt;&lt;VIEWGUID&gt;1F8E10CC-AF48-4A20-B3AB-AD59EDC4643F&lt;/VIEWGUID&gt;&lt;LISTNAME&gt;{63F2C8EB-5BA7-46EB-8311-CA025259BA37}&lt;/LISTNAME&gt;&lt;LISTWEB&gt;https://chevron.sharepoint.com/sites/naspark/_vti_bin&lt;/LISTWEB&gt;&lt;LISTSUBWEB&gt;&lt;/LISTSUBWEB&gt;&lt;ROOTFOLDER&gt;&lt;/ROOTFOLDER&gt;&lt;/LIST&gt;" commandType="5"/>
  </connection>
</connections>
</file>

<file path=xl/sharedStrings.xml><?xml version="1.0" encoding="utf-8"?>
<sst xmlns="http://schemas.openxmlformats.org/spreadsheetml/2006/main" count="1357" uniqueCount="614">
  <si>
    <t>Region</t>
  </si>
  <si>
    <t>Please complete the information on this sheet. The generated configs are found on the remaining tabs</t>
  </si>
  <si>
    <t>Version History</t>
  </si>
  <si>
    <t>Version</t>
  </si>
  <si>
    <t>Author</t>
  </si>
  <si>
    <t>Comments</t>
  </si>
  <si>
    <t>This tab contains the version history of this template.</t>
  </si>
  <si>
    <t>Update this tab when changing anything here to provide evidence that the template is routinely checked against CIRS controls</t>
  </si>
  <si>
    <t>Date</t>
  </si>
  <si>
    <t>1</t>
  </si>
  <si>
    <t>2</t>
  </si>
  <si>
    <t>3</t>
  </si>
  <si>
    <t>4</t>
  </si>
  <si>
    <t>5</t>
  </si>
  <si>
    <t>6</t>
  </si>
  <si>
    <t>7</t>
  </si>
  <si>
    <t>8</t>
  </si>
  <si>
    <t>9</t>
  </si>
  <si>
    <t>10</t>
  </si>
  <si>
    <t>11</t>
  </si>
  <si>
    <t>12</t>
  </si>
  <si>
    <t>13</t>
  </si>
  <si>
    <t>14</t>
  </si>
  <si>
    <t>15</t>
  </si>
  <si>
    <t>16</t>
  </si>
  <si>
    <t>Original version</t>
  </si>
  <si>
    <t>Hostname</t>
  </si>
  <si>
    <t>Loopback IP address</t>
  </si>
  <si>
    <t>ISO Address</t>
  </si>
  <si>
    <t>Aggregated Ethernet Interface</t>
  </si>
  <si>
    <t>IP/Subnet Mask of Aggregated Ethernet</t>
  </si>
  <si>
    <t>system {</t>
  </si>
  <si>
    <t xml:space="preserve">    domain-name mpls0.chevron.net;</t>
  </si>
  <si>
    <t xml:space="preserve">    root-authentication {</t>
  </si>
  <si>
    <t xml:space="preserve">        encrypted-password "$1$N29n4GE2$0T7zTQGl3VgD1ilx75H89/"; ## SECRET-DATA</t>
  </si>
  <si>
    <t xml:space="preserve">    }</t>
  </si>
  <si>
    <t xml:space="preserve">    login {</t>
  </si>
  <si>
    <t xml:space="preserve">            class super-user;</t>
  </si>
  <si>
    <t xml:space="preserve">            authentication {</t>
  </si>
  <si>
    <t xml:space="preserve">            }</t>
  </si>
  <si>
    <t xml:space="preserve">        }</t>
  </si>
  <si>
    <t xml:space="preserve">        user svc-junospace {</t>
  </si>
  <si>
    <t xml:space="preserve">    services {</t>
  </si>
  <si>
    <t xml:space="preserve">        ssh;</t>
  </si>
  <si>
    <t xml:space="preserve">        netconf {</t>
  </si>
  <si>
    <t xml:space="preserve">            ssh;</t>
  </si>
  <si>
    <t xml:space="preserve">    commit synchronize;</t>
  </si>
  <si>
    <t>}</t>
  </si>
  <si>
    <t>chassis {</t>
  </si>
  <si>
    <t xml:space="preserve">    redundancy {</t>
  </si>
  <si>
    <t xml:space="preserve">        routing-engine 0 master;</t>
  </si>
  <si>
    <t xml:space="preserve">        graceful-switchover;</t>
  </si>
  <si>
    <t xml:space="preserve">    aggregated-devices {</t>
  </si>
  <si>
    <t xml:space="preserve">        ethernet {</t>
  </si>
  <si>
    <t xml:space="preserve">            device-count 20;</t>
  </si>
  <si>
    <t>interfaces {</t>
  </si>
  <si>
    <t xml:space="preserve">    lo0 {</t>
  </si>
  <si>
    <t xml:space="preserve">        unit 0 {</t>
  </si>
  <si>
    <t xml:space="preserve">            family inet {</t>
  </si>
  <si>
    <t xml:space="preserve">            family iso {</t>
  </si>
  <si>
    <t xml:space="preserve">        gigether-options {</t>
  </si>
  <si>
    <t xml:space="preserve">        apply-groups MPLS;</t>
  </si>
  <si>
    <t xml:space="preserve">        aggregated-ether-options {</t>
  </si>
  <si>
    <t xml:space="preserve">            lacp {</t>
  </si>
  <si>
    <t xml:space="preserve">                active;</t>
  </si>
  <si>
    <t>snmp {</t>
  </si>
  <si>
    <t xml:space="preserve">    v3 {</t>
  </si>
  <si>
    <t xml:space="preserve">        usm {</t>
  </si>
  <si>
    <t xml:space="preserve">            local-engine {</t>
  </si>
  <si>
    <t xml:space="preserve">                    authentication-sha {</t>
  </si>
  <si>
    <t xml:space="preserve">                    }</t>
  </si>
  <si>
    <t xml:space="preserve">                    privacy-aes128 {</t>
  </si>
  <si>
    <t xml:space="preserve">                }</t>
  </si>
  <si>
    <t xml:space="preserve">                user CVX {</t>
  </si>
  <si>
    <t xml:space="preserve">                        privacy-password "jrmrVD2xfhMsK3VD0c5IA8fB2eDx2FWo";</t>
  </si>
  <si>
    <t xml:space="preserve">        vacm {</t>
  </si>
  <si>
    <t xml:space="preserve">            security-to-group {</t>
  </si>
  <si>
    <t xml:space="preserve">                security-model usm {</t>
  </si>
  <si>
    <t xml:space="preserve">                    security-name CVX {</t>
  </si>
  <si>
    <t xml:space="preserve">                        group CVX-NMS;</t>
  </si>
  <si>
    <t xml:space="preserve">            access {</t>
  </si>
  <si>
    <t xml:space="preserve">                group CVX-NMS {</t>
  </si>
  <si>
    <t xml:space="preserve">                    default-context-prefix {</t>
  </si>
  <si>
    <t xml:space="preserve">                        security-model usm {</t>
  </si>
  <si>
    <t xml:space="preserve">                            security-level privacy {</t>
  </si>
  <si>
    <t xml:space="preserve">                                read-view ViewAll-01;</t>
  </si>
  <si>
    <t xml:space="preserve">                                notify-view ViewAll-01;</t>
  </si>
  <si>
    <t xml:space="preserve">                            }</t>
  </si>
  <si>
    <t xml:space="preserve">                        }</t>
  </si>
  <si>
    <t xml:space="preserve">        notify CVX-Notify-01 {</t>
  </si>
  <si>
    <t xml:space="preserve">            type trap;</t>
  </si>
  <si>
    <t xml:space="preserve">            tag CVX-Mgmt-v3-01;</t>
  </si>
  <si>
    <t xml:space="preserve">        notify-filter NotifyAll {</t>
  </si>
  <si>
    <t xml:space="preserve">            oid .1 include;</t>
  </si>
  <si>
    <t xml:space="preserve">    view ViewAll-01 {</t>
  </si>
  <si>
    <t xml:space="preserve">        oid .1 include;</t>
  </si>
  <si>
    <t xml:space="preserve">    community CAnS33clry4U {</t>
  </si>
  <si>
    <t xml:space="preserve">        view ViewAll-01;</t>
  </si>
  <si>
    <t xml:space="preserve">        authorization read-only;</t>
  </si>
  <si>
    <t xml:space="preserve">    trap-group space {</t>
  </si>
  <si>
    <t xml:space="preserve">        version v2;</t>
  </si>
  <si>
    <t xml:space="preserve">        targets {</t>
  </si>
  <si>
    <t xml:space="preserve">            139.65.136.21;</t>
  </si>
  <si>
    <t>routing-options {</t>
  </si>
  <si>
    <t xml:space="preserve">    graceful-restart;</t>
  </si>
  <si>
    <t>protocols {</t>
  </si>
  <si>
    <t xml:space="preserve">    lldp {</t>
  </si>
  <si>
    <t xml:space="preserve">        interface all;</t>
  </si>
  <si>
    <t>security {</t>
  </si>
  <si>
    <t xml:space="preserve">    authentication-key-chains {</t>
  </si>
  <si>
    <t xml:space="preserve">        key-chain CVX-HMAC-BGP-KEY {</t>
  </si>
  <si>
    <t xml:space="preserve">            description "BGP Authentication Key";</t>
  </si>
  <si>
    <t xml:space="preserve">            key 1 {</t>
  </si>
  <si>
    <t xml:space="preserve">                secret "$9$06s9ISrX7Vb24M82aJZq.EcyeML-VYGUiNdPTz3CArev8NV"; ## SECRET-DATA</t>
  </si>
  <si>
    <t xml:space="preserve">                start-time "2013-12-1.00:00:00 +0000";</t>
  </si>
  <si>
    <t xml:space="preserve">                algorithm hmac-sha-1;</t>
  </si>
  <si>
    <t xml:space="preserve">                options isis-enhanced;</t>
  </si>
  <si>
    <t xml:space="preserve">        key-chain CVX-HMAC-ISIS-KEY {</t>
  </si>
  <si>
    <t xml:space="preserve">            description "ISIS Authentication Key";</t>
  </si>
  <si>
    <t xml:space="preserve">            key 0 {</t>
  </si>
  <si>
    <t xml:space="preserve">                secret "$9$i.TFp0BhcrBIeMXxwsQFnCu1RhyreM69M8LXVbaZUDkm"; ## SECRET-DATA</t>
  </si>
  <si>
    <t>groups {</t>
  </si>
  <si>
    <t xml:space="preserve">    MPLS {</t>
  </si>
  <si>
    <t xml:space="preserve">        interfaces {</t>
  </si>
  <si>
    <t xml:space="preserve">            &lt;*&gt; {</t>
  </si>
  <si>
    <t xml:space="preserve">                    family iso;</t>
  </si>
  <si>
    <t xml:space="preserve">                    family mpls;</t>
  </si>
  <si>
    <t xml:space="preserve">    PROTO-ISIS {</t>
  </si>
  <si>
    <t xml:space="preserve">        protocols {</t>
  </si>
  <si>
    <t xml:space="preserve">            isis {</t>
  </si>
  <si>
    <t xml:space="preserve">                reference-bandwidth 100g;</t>
  </si>
  <si>
    <t xml:space="preserve">                lsp-lifetime 65535;</t>
  </si>
  <si>
    <t xml:space="preserve">                level 2 {</t>
  </si>
  <si>
    <t xml:space="preserve">                    authentication-key-chain CVX-HMAC-ISIS-KEY;</t>
  </si>
  <si>
    <t xml:space="preserve">                    wide-metrics-only;</t>
  </si>
  <si>
    <t xml:space="preserve">                level 1 disable;</t>
  </si>
  <si>
    <t xml:space="preserve">                interface lo0.0 {</t>
  </si>
  <si>
    <t xml:space="preserve">                    passive;</t>
  </si>
  <si>
    <t xml:space="preserve">                    bfd-liveness-detection {</t>
  </si>
  <si>
    <t xml:space="preserve">                        minimum-interval 300;</t>
  </si>
  <si>
    <t xml:space="preserve">                        minimum-receive-interval 300;</t>
  </si>
  <si>
    <t xml:space="preserve">                        multiplier 3;</t>
  </si>
  <si>
    <t xml:space="preserve">                        transmit-interval {</t>
  </si>
  <si>
    <t xml:space="preserve">                            minimum-interval 300;</t>
  </si>
  <si>
    <t xml:space="preserve">                        authentication {</t>
  </si>
  <si>
    <t xml:space="preserve">    isis {</t>
  </si>
  <si>
    <t xml:space="preserve">        apply-groups PROTO-ISIS;</t>
  </si>
  <si>
    <t>28 April 2014</t>
  </si>
  <si>
    <t>NTCT</t>
  </si>
  <si>
    <t>Device type</t>
  </si>
  <si>
    <t>Short name</t>
  </si>
  <si>
    <t>Sub-region</t>
  </si>
  <si>
    <t>ISO Country Code</t>
  </si>
  <si>
    <t>Hub-Type</t>
  </si>
  <si>
    <t>Long name</t>
  </si>
  <si>
    <t>PE - MPLS PE router</t>
  </si>
  <si>
    <t>HOU150-PE1</t>
  </si>
  <si>
    <t>NA</t>
  </si>
  <si>
    <t>HOU</t>
  </si>
  <si>
    <t>US</t>
  </si>
  <si>
    <t>B</t>
  </si>
  <si>
    <t>HOU150-PE2</t>
  </si>
  <si>
    <t>HOU517-PE1</t>
  </si>
  <si>
    <t>C</t>
  </si>
  <si>
    <t>NA-US-HOU-C-HOU517-PE1</t>
  </si>
  <si>
    <t>HOU517-PE2</t>
  </si>
  <si>
    <t>NA-US-HOU-C-HOU517-PE2</t>
  </si>
  <si>
    <t>DALQX3-PE1</t>
  </si>
  <si>
    <t>DFW</t>
  </si>
  <si>
    <t>NA-US-DFW-C-DALQX3-PE1</t>
  </si>
  <si>
    <t>DALQX3-PE2</t>
  </si>
  <si>
    <t>NA-US-DFW-C-DALQX3-PE2</t>
  </si>
  <si>
    <t>SJCQX1-PE1</t>
  </si>
  <si>
    <t>NCAL</t>
  </si>
  <si>
    <t>NA-US-NCAL-C-SJCQX1-PE1</t>
  </si>
  <si>
    <t>CON-PE1</t>
  </si>
  <si>
    <t>NA-US-NCAL-B-CON-PE1</t>
  </si>
  <si>
    <t>CON-PE2</t>
  </si>
  <si>
    <t>NA-US-NCAL-B-CON-PE2</t>
  </si>
  <si>
    <t>CHVPK-PE1</t>
  </si>
  <si>
    <t>D</t>
  </si>
  <si>
    <t>NA-US-NCAL-D-CHVPK-PE1</t>
  </si>
  <si>
    <t>CHVPK-PE2</t>
  </si>
  <si>
    <t>NA-US-NCAL-D-CHVPK-PE2</t>
  </si>
  <si>
    <t>LAXQX1-PE1</t>
  </si>
  <si>
    <t>SCAL</t>
  </si>
  <si>
    <t>NA-US-SCAL-C-LAXQX1-PE1</t>
  </si>
  <si>
    <t>LAXQX1-PE2</t>
  </si>
  <si>
    <t>NA-US-SCAL-C-LAXQX1-PE2</t>
  </si>
  <si>
    <t>AMSQX3-PE1</t>
  </si>
  <si>
    <t>EU</t>
  </si>
  <si>
    <t>AMS</t>
  </si>
  <si>
    <t>NL</t>
  </si>
  <si>
    <t>EU-NL-AMS-C-AMSQX3-PE1</t>
  </si>
  <si>
    <t>AMSQX3-PE2</t>
  </si>
  <si>
    <t>EU-NL-AMS-C-AMSQX3-PE2</t>
  </si>
  <si>
    <t>LONPWG-PE1</t>
  </si>
  <si>
    <t>LON</t>
  </si>
  <si>
    <t>GB</t>
  </si>
  <si>
    <t>EU-GB-LON-C-LONPWG-PE1</t>
  </si>
  <si>
    <t>LONPWG-PE2</t>
  </si>
  <si>
    <t>EU-GB-LON-C-LONPWG-PE2</t>
  </si>
  <si>
    <t>SINQX1-PE1</t>
  </si>
  <si>
    <t>AS</t>
  </si>
  <si>
    <t>SIN</t>
  </si>
  <si>
    <t>SG</t>
  </si>
  <si>
    <t>AS-SG-SIN-C-SINQX1-PE1</t>
  </si>
  <si>
    <t>SINQX1-PE2</t>
  </si>
  <si>
    <t>AS-SG-SIN-C-SINQX1-PE2</t>
  </si>
  <si>
    <t>TOKQX4-PE1</t>
  </si>
  <si>
    <t>TOK</t>
  </si>
  <si>
    <t>JP</t>
  </si>
  <si>
    <t>AS-JP-TOK-C-TOKQX4-PE1</t>
  </si>
  <si>
    <t>TOKQX4-PE2</t>
  </si>
  <si>
    <t>AS-JP-TOK-C-TOKQX4-PE2</t>
  </si>
  <si>
    <t>Global Core PE Staging Template</t>
  </si>
  <si>
    <t>Note: This template is used for the intial bring up of a PE router as part of the core network solution</t>
  </si>
  <si>
    <t>Copy the configs into notepad and then onto your router.</t>
  </si>
  <si>
    <t>WAN Physical Interface</t>
  </si>
  <si>
    <t xml:space="preserve"> </t>
  </si>
  <si>
    <t>SECTION 1: Device Specific Information (underlined fields are hyperlinks to the relevant documents)</t>
  </si>
  <si>
    <t>SECTION 2: Calculated Values (info only - do not edit)</t>
  </si>
  <si>
    <t>30 April 2014</t>
  </si>
  <si>
    <t>HOSG</t>
  </si>
  <si>
    <t>Added diagrams and data validation on cells</t>
  </si>
  <si>
    <t xml:space="preserve">                interface &lt;ae*&gt; {</t>
  </si>
  <si>
    <t xml:space="preserve">                    point-to-point;</t>
  </si>
  <si>
    <t xml:space="preserve">                    level 2 metric 16777210;</t>
  </si>
  <si>
    <t>20 May 2014</t>
  </si>
  <si>
    <t>Tweaks to ISIS configuration</t>
  </si>
  <si>
    <t>Verification and troubleshooting</t>
  </si>
  <si>
    <t>Helpful commands to verify that the configuration is working correctly</t>
  </si>
  <si>
    <t>Command</t>
  </si>
  <si>
    <t>What it does</t>
  </si>
  <si>
    <t>Sample output</t>
  </si>
  <si>
    <t>show isis adjacency brief</t>
  </si>
  <si>
    <t>Checks the physical interface is up
Look for admin up / link up</t>
  </si>
  <si>
    <t>Checks the aggregated interface is up
Look for admin up / link up</t>
  </si>
  <si>
    <t>Pings JunosSpace in Houston
Check for 5 packets received</t>
  </si>
  <si>
    <t>Checks ISIS neighbours
Check state is up and the remote router name is what you are expecting</t>
  </si>
  <si>
    <t>22 May 2014</t>
  </si>
  <si>
    <t>Added verification tab</t>
  </si>
  <si>
    <t xml:space="preserve">                            algorithm meticulous-keyed-sha-1;</t>
  </si>
  <si>
    <t xml:space="preserve">                            key-chain CVX-HMAC-BFD-KEY;</t>
  </si>
  <si>
    <t xml:space="preserve">        key-chain CVX-HMAC-BFD-KEY {</t>
  </si>
  <si>
    <t xml:space="preserve">                secret "$9$0vaWISrLX-gaZX7aUDjf5ylKWXNVb2GUimfhylKLXaZUDqP"; ## SECRET-DATA</t>
  </si>
  <si>
    <t xml:space="preserve">        message "\n****************************************************\nWARNING TO UNAUTHORIZED USERS:\nThis system is for use by authorized users only.\nAny individual using this system, by such use,\nacknowledges and consents to the right of the\ncompany to monitor, access, use, and disclose any\ninformation generated, received, or stored on the\nsystems, and waives any right of privacy or\nexpectation of privacy on the part of that\nindividual in connection with his or her use of\nthis system. Unauthorized and/or improper use of\nthis system, as delineated by corporate policies,\nis not tolerated and the company may take formal\naction against such individuals.\n****************************************************\n";</t>
  </si>
  <si>
    <t xml:space="preserve">                mtu 1602;</t>
  </si>
  <si>
    <t xml:space="preserve">        user cvxadmin {</t>
  </si>
  <si>
    <t xml:space="preserve">                encrypted-password "$1$iCSSb0C6$dmVmus208n2TiEycnJPHY."; ## SECRET-DATA</t>
  </si>
  <si>
    <t xml:space="preserve">        port-id-subtype interface-name;</t>
  </si>
  <si>
    <t xml:space="preserve">    network-services enhanced-ip;</t>
  </si>
  <si>
    <t>PERAT2-PE1</t>
  </si>
  <si>
    <t>PER</t>
  </si>
  <si>
    <t>AU</t>
  </si>
  <si>
    <t>AS-AU-PER-B-PERAT2-PE1</t>
  </si>
  <si>
    <t>PERAT2-PE2</t>
  </si>
  <si>
    <t>AS-AU-PER-B-PERAT2-PE2</t>
  </si>
  <si>
    <t>PERAT8-PE1</t>
  </si>
  <si>
    <t>AS-AU-PER-B-PERAT8-PE1</t>
  </si>
  <si>
    <t>PERAT8-PE2</t>
  </si>
  <si>
    <t>AS-AU-PER-B-PERAT8-PE2</t>
  </si>
  <si>
    <t>F07058-PE1</t>
  </si>
  <si>
    <t>AS-AU-PER-D-F07058-PE1</t>
  </si>
  <si>
    <t>F07058-PE2</t>
  </si>
  <si>
    <t>AS-AU-PER-D-F07058-PE2</t>
  </si>
  <si>
    <t>OFCMP-PE1</t>
  </si>
  <si>
    <t>DHA</t>
  </si>
  <si>
    <t>BD</t>
  </si>
  <si>
    <t>AS-BD-DHA-B-OFCMP-PE1</t>
  </si>
  <si>
    <t>OFMCP-PE2</t>
  </si>
  <si>
    <t>AS-BD-DHA-B-OFMCP-PE2</t>
  </si>
  <si>
    <t>DHAK94-PE1</t>
  </si>
  <si>
    <t>DHAK</t>
  </si>
  <si>
    <t>AS-BD-DHAK-B-DHAK94-PE1</t>
  </si>
  <si>
    <t>DHAK94-PE2</t>
  </si>
  <si>
    <t>AS-BD-DHAK-B-DHAK94-PE2</t>
  </si>
  <si>
    <t>PR - MPLS Route Reflector</t>
  </si>
  <si>
    <t>TOKQX4-PR1</t>
  </si>
  <si>
    <t>AS-JP-TOK-C-TOKQX4-PR1</t>
  </si>
  <si>
    <t>PHHQ-PE1</t>
  </si>
  <si>
    <t>MNL</t>
  </si>
  <si>
    <t>PH</t>
  </si>
  <si>
    <t>AS-PH-MNL-B-PHHQ-PE1</t>
  </si>
  <si>
    <t>PHHQ-PE2</t>
  </si>
  <si>
    <t>AS-PH-MNL-B-PHHQ-PE2</t>
  </si>
  <si>
    <t>PHRC-PE1</t>
  </si>
  <si>
    <t>AS-PH-MNL-B-PHRC-PE1</t>
  </si>
  <si>
    <t>PHRC-PE2</t>
  </si>
  <si>
    <t>AS-PH-MNL-B-PHRC-PE2</t>
  </si>
  <si>
    <t>SINQX1-PR1</t>
  </si>
  <si>
    <t>AS-SG-SIN-C-SINQX1-PR1</t>
  </si>
  <si>
    <t>SGDC1-PE1</t>
  </si>
  <si>
    <t>AS-SG-SIN-D-SGDC1-PE1</t>
  </si>
  <si>
    <t>SGDC1-PE2</t>
  </si>
  <si>
    <t>AS-SG-SIN-D-SGDC1-PE2</t>
  </si>
  <si>
    <t>BKKHQ-PE1</t>
  </si>
  <si>
    <t>BKK</t>
  </si>
  <si>
    <t>TH</t>
  </si>
  <si>
    <t>AS-TH-BKK-B-BKKHQ-PE1</t>
  </si>
  <si>
    <t>BKKHQ-PE2</t>
  </si>
  <si>
    <t>AS-TH-BKK-B-BKKHQ-PE2</t>
  </si>
  <si>
    <t>SRICL3-PE1</t>
  </si>
  <si>
    <t>SRI</t>
  </si>
  <si>
    <t>AS-TH-SRI-B-SRICL3-PE1</t>
  </si>
  <si>
    <t>SRICL3-PE2</t>
  </si>
  <si>
    <t>AS-TH-SRI-B-SRICL3-PE2</t>
  </si>
  <si>
    <t>ABEHRU-PE1</t>
  </si>
  <si>
    <t>ABE</t>
  </si>
  <si>
    <t>EU-GB-ABE-B-ABEHRU-PE1</t>
  </si>
  <si>
    <t>ABEHRU-PE2</t>
  </si>
  <si>
    <t>EU-GB-ABE-B-ABEHRU-PE2</t>
  </si>
  <si>
    <t>LONPWG-PR1</t>
  </si>
  <si>
    <t>EU-GB-LON-C-LONPWG-PR1</t>
  </si>
  <si>
    <t>AMSQX3-PR1</t>
  </si>
  <si>
    <t>EU-NL-AMS-C-AMSQX3-PR1</t>
  </si>
  <si>
    <t>CAPEHO-PE1</t>
  </si>
  <si>
    <t>CPT</t>
  </si>
  <si>
    <t>ZA</t>
  </si>
  <si>
    <t>EU-ZA-CPT-B-CAPEHO-PE1</t>
  </si>
  <si>
    <t>CAPEHO-PE2</t>
  </si>
  <si>
    <t>EU-ZA-CPT-B-CAPEHO-PE2</t>
  </si>
  <si>
    <t>BUE355-PE1</t>
  </si>
  <si>
    <t>EZE</t>
  </si>
  <si>
    <t>AR</t>
  </si>
  <si>
    <t>NA-AR-EZE-B-BUE355-PE1</t>
  </si>
  <si>
    <t>BUE355-PE2</t>
  </si>
  <si>
    <t>NA-AR-EZE-B-BUE355-PE2</t>
  </si>
  <si>
    <t>BUEAR-PE1</t>
  </si>
  <si>
    <t>NA-AR-EZE-B-BUEAR-PE1</t>
  </si>
  <si>
    <t>BUEAR-PE2</t>
  </si>
  <si>
    <t>NA-AR-EZE-B-BUEAR-PE2</t>
  </si>
  <si>
    <t>RIO</t>
  </si>
  <si>
    <t>BR</t>
  </si>
  <si>
    <t>F06117-PE1</t>
  </si>
  <si>
    <t>NA-BR-RIO-B-F06117-PE1</t>
  </si>
  <si>
    <t>F06117-PE2</t>
  </si>
  <si>
    <t>NA-BR-RIO-B-F06117-PE2</t>
  </si>
  <si>
    <t>BO1930-PE1</t>
  </si>
  <si>
    <t>BOG</t>
  </si>
  <si>
    <t>CO</t>
  </si>
  <si>
    <t>NA-CO-BOG-B-BO1930-PE1</t>
  </si>
  <si>
    <t>BO1930-PE2</t>
  </si>
  <si>
    <t>NA-CO-BOG-B-BO1930-PE2</t>
  </si>
  <si>
    <t>COV100-PE1</t>
  </si>
  <si>
    <t>GOM</t>
  </si>
  <si>
    <t>NA-US-GOM-B-COV100-PE1</t>
  </si>
  <si>
    <t>COV100-PE2</t>
  </si>
  <si>
    <t>NA-US-GOM-B-COV100-PE2</t>
  </si>
  <si>
    <t>HOU517-PR1</t>
  </si>
  <si>
    <t>NA-US-HOU-C-HOU517-PR1</t>
  </si>
  <si>
    <t>NA-US-HOU-D-HOU150-PE1</t>
  </si>
  <si>
    <t>NA-US-HOU-D-HOU150-PE2</t>
  </si>
  <si>
    <t>RIC841-PE1</t>
  </si>
  <si>
    <t>NA-US-NCAL-B-RIC841-PE1</t>
  </si>
  <si>
    <t>RIC841-PE2</t>
  </si>
  <si>
    <t>NA-US-NCAL-B-RIC841-PE2</t>
  </si>
  <si>
    <t>SJCQX1-PE2</t>
  </si>
  <si>
    <t>NA-US-NCAL-C-SJCQX1-PE2</t>
  </si>
  <si>
    <t>SJCQX1-PR1</t>
  </si>
  <si>
    <t>NA-US-NCAL-C-SJCQX1-PR1</t>
  </si>
  <si>
    <t>MOO700-PE1</t>
  </si>
  <si>
    <t>PIT</t>
  </si>
  <si>
    <t>NA-US-PIT-B-MOO700-PE1</t>
  </si>
  <si>
    <t>MOO700-PE2</t>
  </si>
  <si>
    <t>NA-US-PIT-B-MOO700-PE2</t>
  </si>
  <si>
    <t>SAN520-PE1</t>
  </si>
  <si>
    <t>SAT</t>
  </si>
  <si>
    <t>NA-US-SAT-D-SAN520-PE1</t>
  </si>
  <si>
    <t>SAN520-PE2</t>
  </si>
  <si>
    <t>NA-US-SAT-D-SAN520-PE2</t>
  </si>
  <si>
    <t>ESE445-PE1</t>
  </si>
  <si>
    <t>NA-US-SCAL-B-ESE445-PE1</t>
  </si>
  <si>
    <t>ESE445-PE2</t>
  </si>
  <si>
    <t>NA-US-SCAL-B-ESE445-PE2</t>
  </si>
  <si>
    <t>ESE-PE1</t>
  </si>
  <si>
    <t>NA-US-SCAL-B-ESE-PE1</t>
  </si>
  <si>
    <t>ESE-PE2</t>
  </si>
  <si>
    <t>NA-US-SCAL-B-ESE-PE2</t>
  </si>
  <si>
    <t>BDO-PE1</t>
  </si>
  <si>
    <t>SJV</t>
  </si>
  <si>
    <t>NA-US-SJV-B-BDO-PE1</t>
  </si>
  <si>
    <t>BDO-PE2</t>
  </si>
  <si>
    <t>NA-US-SJV-B-BDO-PE2</t>
  </si>
  <si>
    <t>BK9525-PE1</t>
  </si>
  <si>
    <t>NA-US-SJV-B-BK9525-PE1</t>
  </si>
  <si>
    <t>BK9525-PE2</t>
  </si>
  <si>
    <t>NA-US-SJV-B-BK9525-PE2</t>
  </si>
  <si>
    <t>CARVE-PE1</t>
  </si>
  <si>
    <t>CCS</t>
  </si>
  <si>
    <t>VE</t>
  </si>
  <si>
    <t>NA-VE-CCS-B-CARVE-PE1</t>
  </si>
  <si>
    <t>CARVE-PE2</t>
  </si>
  <si>
    <t>NA-VE-CCS-B-CARVE-PE2</t>
  </si>
  <si>
    <t>PE config (part 1)</t>
  </si>
  <si>
    <t>PE config (part 2)</t>
  </si>
  <si>
    <t>Copy this configuration into the router using "load merge terminal" command then commit the config</t>
  </si>
  <si>
    <t xml:space="preserve">    default-address-selection;</t>
  </si>
  <si>
    <r>
      <t xml:space="preserve">Copy this configuration into the router using "load merge terminal" command then </t>
    </r>
    <r>
      <rPr>
        <b/>
        <sz val="12"/>
        <color rgb="FF0070C0"/>
        <rFont val="Calibri"/>
        <family val="2"/>
        <scheme val="minor"/>
      </rPr>
      <t>commit the config before doing part 2</t>
    </r>
  </si>
  <si>
    <t>20 May 2016</t>
  </si>
  <si>
    <t>Broke SNMPv3 config into separate tab to fix polling issues</t>
  </si>
  <si>
    <t>IDJAK-PE1</t>
  </si>
  <si>
    <t>JAK</t>
  </si>
  <si>
    <t>ID</t>
  </si>
  <si>
    <t>AS-ID-JAK-B-IDJAK-PE1</t>
  </si>
  <si>
    <t>IDJAK-PE2</t>
  </si>
  <si>
    <t>AS-ID-JAK-B-IDJAK-PE2</t>
  </si>
  <si>
    <t>IDRBI-PE1</t>
  </si>
  <si>
    <t>RBI</t>
  </si>
  <si>
    <t>AS-ID-RBI-B-IDRBI-PE1</t>
  </si>
  <si>
    <t>IDRBI-PE2</t>
  </si>
  <si>
    <t>AS-ID-RBI-B-IDRBI-PE2</t>
  </si>
  <si>
    <t>GONFR-PE1</t>
  </si>
  <si>
    <t>LEH</t>
  </si>
  <si>
    <t>FR</t>
  </si>
  <si>
    <t>EU-FR-LEH-B-GONFR-PE1</t>
  </si>
  <si>
    <t>GONFR-PE2</t>
  </si>
  <si>
    <t>EU-FR-LEH-B-GONFR-PE2</t>
  </si>
  <si>
    <t>GBANR-PE1</t>
  </si>
  <si>
    <t>LOS</t>
  </si>
  <si>
    <t>NG</t>
  </si>
  <si>
    <t>EU-NG-LOS-B-GBANR-PE1</t>
  </si>
  <si>
    <t>GBANR-PE2</t>
  </si>
  <si>
    <t>EU-NG-LOS-B-GBANR-PE2</t>
  </si>
  <si>
    <t>LAGNR-PE1</t>
  </si>
  <si>
    <t>EU-NG-LOS-B-LAGNR-PE1</t>
  </si>
  <si>
    <t>LAGNR-PE2</t>
  </si>
  <si>
    <t>EU-NG-LOS-B-LAGNR-PE2</t>
  </si>
  <si>
    <t>MI630A-PE1</t>
  </si>
  <si>
    <t>MID</t>
  </si>
  <si>
    <t>NA-US-MID-B-MI630A-PE1</t>
  </si>
  <si>
    <t>MI630A-PE2</t>
  </si>
  <si>
    <t>NA-US-MID-B-MI630A-PE2</t>
  </si>
  <si>
    <t>PASMS-PE1</t>
  </si>
  <si>
    <t>PAS</t>
  </si>
  <si>
    <t>NA-US-PAS-B-PASMS-PE1</t>
  </si>
  <si>
    <t>PASMS-PE2</t>
  </si>
  <si>
    <t>NA-US-PAS-B-PASMS-PE2</t>
  </si>
  <si>
    <t>SLC235-PE1</t>
  </si>
  <si>
    <t>SLC</t>
  </si>
  <si>
    <t>NA-US-SLC-B-SLC235-PE1</t>
  </si>
  <si>
    <t>SLC235-PE2</t>
  </si>
  <si>
    <t>NA-US-SLC-B-SLC235-PE2</t>
  </si>
  <si>
    <t>TCOATY-PE1</t>
  </si>
  <si>
    <t>GUW</t>
  </si>
  <si>
    <t>KZ</t>
  </si>
  <si>
    <t>EU-KZ-GUW-B-TCOATY-PE1</t>
  </si>
  <si>
    <t>TCOATY-PE2</t>
  </si>
  <si>
    <t>EU-KZ-GUW-B-TCOATY-PE2</t>
  </si>
  <si>
    <t xml:space="preserve">                        authentication-password "R705JRWEGYvGpzYeY78z62pn99rMtpU8"; </t>
  </si>
  <si>
    <t xml:space="preserve">                user CVX2 {</t>
  </si>
  <si>
    <t xml:space="preserve">                        authentication-password "cZLY5veLD2tHCO4a6drqz8m";</t>
  </si>
  <si>
    <t xml:space="preserve">                        privacy-password "URSXcN6iGsevpfwmLWO3bFG";</t>
  </si>
  <si>
    <t xml:space="preserve">                    } </t>
  </si>
  <si>
    <t xml:space="preserve">                    security-name CVX2 {</t>
  </si>
  <si>
    <t>Loopback</t>
  </si>
  <si>
    <t>Look-Glass Grouping</t>
  </si>
  <si>
    <t>AS B Hub</t>
  </si>
  <si>
    <t>139.65.226.17</t>
  </si>
  <si>
    <t>AS D Hub</t>
  </si>
  <si>
    <t>139.65.226.18</t>
  </si>
  <si>
    <t>F08734-PE1</t>
  </si>
  <si>
    <t>SYD</t>
  </si>
  <si>
    <t>A</t>
  </si>
  <si>
    <t>AS-AU-SYD-A-F08734-PE1</t>
  </si>
  <si>
    <t>139.65.226.19</t>
  </si>
  <si>
    <t>AS A Hub</t>
  </si>
  <si>
    <t>F08734-PE2</t>
  </si>
  <si>
    <t>AS-AU-SYD-A-F08734-PE2</t>
  </si>
  <si>
    <t>139.65.226.20</t>
  </si>
  <si>
    <t>F08734-RI1</t>
  </si>
  <si>
    <t>RI - Internet Peering Router</t>
  </si>
  <si>
    <t>AS-AU-SYD-A-F08734-RI1</t>
  </si>
  <si>
    <t>139.65.0.9</t>
  </si>
  <si>
    <t>139.65.226.114</t>
  </si>
  <si>
    <t>139.65.226.115</t>
  </si>
  <si>
    <t>139.65.226.112</t>
  </si>
  <si>
    <t>139.65.226.113</t>
  </si>
  <si>
    <t>139.65.226.118</t>
  </si>
  <si>
    <t>139.65.226.119</t>
  </si>
  <si>
    <t>139.65.226.116</t>
  </si>
  <si>
    <t>139.65.226.117</t>
  </si>
  <si>
    <t>AS C Hub</t>
  </si>
  <si>
    <t>TOKQX4-RI1</t>
  </si>
  <si>
    <t>AS-JP-TOK-C-TOKQX4-RI1</t>
  </si>
  <si>
    <t>SINQX1-RI1</t>
  </si>
  <si>
    <t>AS-SG-SIN-C-SINQX1-RI1</t>
  </si>
  <si>
    <t>LUAA13-PE1</t>
  </si>
  <si>
    <t>LAD</t>
  </si>
  <si>
    <t>AO</t>
  </si>
  <si>
    <t>EU-AO-LAD-B-LUAA13-PE1</t>
  </si>
  <si>
    <t>139.65.225.116</t>
  </si>
  <si>
    <t>EU B Hub</t>
  </si>
  <si>
    <t>LUAA13-PE2</t>
  </si>
  <si>
    <t>EU-AO-LAD-B-LUAA13-PE2</t>
  </si>
  <si>
    <t>139.65.225.117</t>
  </si>
  <si>
    <t>LUAA29-PE1</t>
  </si>
  <si>
    <t>EU-AO-LAD-B-LUAA29-PE1</t>
  </si>
  <si>
    <t>139.65.225.118</t>
  </si>
  <si>
    <t>LUAA29-PE2</t>
  </si>
  <si>
    <t>EU-AO-LAD-B-LUAA29-PE2</t>
  </si>
  <si>
    <t>139.65.225.119</t>
  </si>
  <si>
    <t>139.65.225.106</t>
  </si>
  <si>
    <t>139.65.225.107</t>
  </si>
  <si>
    <t>EU C Hub</t>
  </si>
  <si>
    <t>LONPWG-RI1</t>
  </si>
  <si>
    <t>EU-GB-LON-C-LONPWG-RI1</t>
  </si>
  <si>
    <t>TCOATH-PE1</t>
  </si>
  <si>
    <t>EU-KZ-GUW-B-TCOATH-PE1</t>
  </si>
  <si>
    <t>139.65.225.114</t>
  </si>
  <si>
    <t>TCOATH-PE2</t>
  </si>
  <si>
    <t>EU-KZ-GUW-B-TCOATH-PE2</t>
  </si>
  <si>
    <t>139.65.225.115</t>
  </si>
  <si>
    <t>139.65.225.112</t>
  </si>
  <si>
    <t>139.65.225.113</t>
  </si>
  <si>
    <t>139.65.225.110</t>
  </si>
  <si>
    <t>139.65.225.111</t>
  </si>
  <si>
    <t>139.65.225.108</t>
  </si>
  <si>
    <t>139.65.225.109</t>
  </si>
  <si>
    <t>AMSQX3-RI1</t>
  </si>
  <si>
    <t>EU-NL-AMS-C-AMSQX3-RI1</t>
  </si>
  <si>
    <t>139.65.225.104</t>
  </si>
  <si>
    <t>139.65.225.105</t>
  </si>
  <si>
    <t>139.65.224.119</t>
  </si>
  <si>
    <t>NA B Hub</t>
  </si>
  <si>
    <t>139.65.224.120</t>
  </si>
  <si>
    <t>139.65.224.117</t>
  </si>
  <si>
    <t>139.65.224.118</t>
  </si>
  <si>
    <t>139.65.224.121</t>
  </si>
  <si>
    <t>139.65.224.122</t>
  </si>
  <si>
    <t>CALDC-PE1</t>
  </si>
  <si>
    <t>CAL</t>
  </si>
  <si>
    <t>CA</t>
  </si>
  <si>
    <t>NA-CA-CAL-B-CALDC-PE1</t>
  </si>
  <si>
    <t>139.65.224.101</t>
  </si>
  <si>
    <t>CALDC-PE2</t>
  </si>
  <si>
    <t>NA-CA-CAL-B-CALDC-PE2</t>
  </si>
  <si>
    <t>139.65.224.102</t>
  </si>
  <si>
    <t>139.65.224.125</t>
  </si>
  <si>
    <t>139.65.224.126</t>
  </si>
  <si>
    <t>139.65.224.11</t>
  </si>
  <si>
    <t>NA C Hub</t>
  </si>
  <si>
    <t>139.65.224.12</t>
  </si>
  <si>
    <t>DALQX3-RI1</t>
  </si>
  <si>
    <t>NA-US-DFW-C-DALQX3-RI1</t>
  </si>
  <si>
    <t>139.65.224.109</t>
  </si>
  <si>
    <t>139.65.224.110</t>
  </si>
  <si>
    <t>139.65.224.13</t>
  </si>
  <si>
    <t>139.65.224.14</t>
  </si>
  <si>
    <t>HOU517-RI1</t>
  </si>
  <si>
    <t>NA-US-HOU-C-HOU517-RI1</t>
  </si>
  <si>
    <t>139.65.224.15</t>
  </si>
  <si>
    <t>NA D Hub</t>
  </si>
  <si>
    <t>139.65.224.16</t>
  </si>
  <si>
    <t>139.65.224.131</t>
  </si>
  <si>
    <t>139.65.224.132</t>
  </si>
  <si>
    <t>139.65.224.135</t>
  </si>
  <si>
    <t>139.65.224.136</t>
  </si>
  <si>
    <t>139.65.224.19</t>
  </si>
  <si>
    <t>139.65.224.20</t>
  </si>
  <si>
    <t>SJCQX1-RI1</t>
  </si>
  <si>
    <t>NA-US-NCAL-C-SJCQX1-RI1</t>
  </si>
  <si>
    <t>139.65.224.21</t>
  </si>
  <si>
    <t>139.65.224.22</t>
  </si>
  <si>
    <t>139.65.224.139</t>
  </si>
  <si>
    <t>139.65.224.140</t>
  </si>
  <si>
    <t>139.65.224.129</t>
  </si>
  <si>
    <t>139.65.226.130</t>
  </si>
  <si>
    <t>139.65.224.23</t>
  </si>
  <si>
    <t>139.65.224.24</t>
  </si>
  <si>
    <t>LAXQX1-RI1</t>
  </si>
  <si>
    <t>NA-US-SCAL-C-LAXQX1-RI1</t>
  </si>
  <si>
    <t>139.65.224.115</t>
  </si>
  <si>
    <t>139.65.224.116</t>
  </si>
  <si>
    <t>BK4241-PE1</t>
  </si>
  <si>
    <t>NA-US-SJV-B-BK4241-PE1</t>
  </si>
  <si>
    <t>139.65.224.141</t>
  </si>
  <si>
    <t>BK4241-PE2</t>
  </si>
  <si>
    <t>NA-US-SJV-B-BK4241-PE2</t>
  </si>
  <si>
    <t>139.65.224.142</t>
  </si>
  <si>
    <t>139.65.224.113</t>
  </si>
  <si>
    <t>139.65.224.114</t>
  </si>
  <si>
    <t>139.65.224.137</t>
  </si>
  <si>
    <t>139.65.224.138</t>
  </si>
  <si>
    <t>139.65.224.127</t>
  </si>
  <si>
    <t>139.65.224.128</t>
  </si>
  <si>
    <t>License Info</t>
  </si>
  <si>
    <t>test-test-E00000-Foo</t>
  </si>
  <si>
    <t>F09153-PE1</t>
  </si>
  <si>
    <t>SP</t>
  </si>
  <si>
    <t>NA-BR-SP-A-F09153-PE1</t>
  </si>
  <si>
    <t>139.65.224.29</t>
  </si>
  <si>
    <t>NA A Hub</t>
  </si>
  <si>
    <t>F09153-PE2</t>
  </si>
  <si>
    <t>NA-BR-SP-A-F09153-PE2</t>
  </si>
  <si>
    <t>139.65.224.30</t>
  </si>
  <si>
    <t>F09155-PE1</t>
  </si>
  <si>
    <t>VA</t>
  </si>
  <si>
    <t>NA-US-VA-A-F09155-PE1</t>
  </si>
  <si>
    <t>139.65.224.27</t>
  </si>
  <si>
    <t>F09155-PE2</t>
  </si>
  <si>
    <t>NA-US-VA-A-F09155-PE2</t>
  </si>
  <si>
    <t>139.65.224.28</t>
  </si>
  <si>
    <t>xe-0/1/5</t>
  </si>
  <si>
    <t>ae1</t>
  </si>
  <si>
    <t>139.65.229.203/31</t>
  </si>
  <si>
    <t>VLAN ID</t>
  </si>
  <si>
    <t xml:space="preserve">                unit &lt;*&gt; {</t>
  </si>
  <si>
    <t>13 May 2021</t>
  </si>
  <si>
    <t>Added vlan tagging to ae interface</t>
  </si>
  <si>
    <t xml:space="preserve">                    family inet {</t>
  </si>
  <si>
    <t xml:space="preserve">                encrypted-password "$6$tc6DNXrT$V1pGqO31dKibwjvCklxt4WyVJ5sKrEbcOOGFN4ZE9K9wrIZAyL4LGnenlh6FP9gIPXF.IfeMPVcOP5kglNA4b/"; ## SECRET-DATA</t>
  </si>
  <si>
    <t>ping 139.65.136.21 count 5</t>
  </si>
  <si>
    <t xml:space="preserve">PING 139.65.136.21 (139.65.136.21): 56 data bytes
64 bytes from 139.65.136.21: icmp_seq=0 ttl=126 time=34.086 ms
64 bytes from 139.65.136.21: icmp_seq=1 ttl=126 time=33.958 ms
64 bytes from 139.65.136.21: icmp_seq=2 ttl=126 time=34.039 ms
64 bytes from 139.65.136.21: icmp_seq=3 ttl=126 time=34.048 ms
64 bytes from 139.65.136.21: icmp_seq=4 ttl=126 time=34.034 ms
--- 139.65.136.21 ping statistics ---
5 packets transmitted, 5 packets received, 0% packet loss
round-trip min/avg/max/stddev = 33.958/34.033/34.086/0.042 ms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</si>
</sst>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
  </numFmts>
  <fonts count="21" x14ac:knownFonts="1">
    <font>
      <sz val="10"/>
      <name val="Arial"/>
    </font>
    <font>
      <sz val="8"/>
      <name val="Arial"/>
      <family val="2"/>
    </font>
    <font>
      <u/>
      <sz val="10"/>
      <color indexed="12"/>
      <name val="Arial"/>
      <family val="2"/>
    </font>
    <font>
      <sz val="11"/>
      <color theme="1"/>
      <name val="Calibri"/>
      <family val="2"/>
      <scheme val="minor"/>
    </font>
    <font>
      <b/>
      <sz val="14"/>
      <color indexed="12"/>
      <name val="Calibri"/>
      <family val="2"/>
      <scheme val="minor"/>
    </font>
    <font>
      <sz val="10"/>
      <name val="Calibri"/>
      <family val="2"/>
      <scheme val="minor"/>
    </font>
    <font>
      <i/>
      <sz val="10"/>
      <name val="Calibri"/>
      <family val="2"/>
      <scheme val="minor"/>
    </font>
    <font>
      <b/>
      <sz val="10"/>
      <color indexed="10"/>
      <name val="Calibri"/>
      <family val="2"/>
      <scheme val="minor"/>
    </font>
    <font>
      <b/>
      <sz val="10"/>
      <name val="Calibri"/>
      <family val="2"/>
      <scheme val="minor"/>
    </font>
    <font>
      <b/>
      <sz val="10"/>
      <color rgb="FFFF0000"/>
      <name val="Calibri"/>
      <family val="2"/>
      <scheme val="minor"/>
    </font>
    <font>
      <b/>
      <sz val="10"/>
      <color indexed="12"/>
      <name val="Calibri"/>
      <family val="2"/>
      <scheme val="minor"/>
    </font>
    <font>
      <sz val="10"/>
      <name val="Consolas"/>
      <family val="3"/>
    </font>
    <font>
      <u/>
      <sz val="10"/>
      <color indexed="12"/>
      <name val="Calibri"/>
      <family val="2"/>
      <scheme val="minor"/>
    </font>
    <font>
      <sz val="10"/>
      <color rgb="FFFF0000"/>
      <name val="Consolas"/>
      <family val="3"/>
    </font>
    <font>
      <sz val="10"/>
      <name val="Arial"/>
      <family val="2"/>
    </font>
    <font>
      <sz val="10"/>
      <name val="Arial"/>
    </font>
    <font>
      <sz val="11"/>
      <color theme="0"/>
      <name val="Calibri"/>
      <family val="2"/>
      <scheme val="minor"/>
    </font>
    <font>
      <b/>
      <sz val="14"/>
      <color theme="0"/>
      <name val="Calibri"/>
      <family val="2"/>
      <scheme val="minor"/>
    </font>
    <font>
      <b/>
      <sz val="12"/>
      <color rgb="FFFF0000"/>
      <name val="Calibri"/>
      <family val="2"/>
      <scheme val="minor"/>
    </font>
    <font>
      <b/>
      <sz val="12"/>
      <color rgb="FF0070C0"/>
      <name val="Calibri"/>
      <family val="2"/>
      <scheme val="minor"/>
    </font>
    <font>
      <sz val="8"/>
      <name val="Arial"/>
    </font>
  </fonts>
  <fills count="6">
    <fill>
      <patternFill patternType="none"/>
    </fill>
    <fill>
      <patternFill patternType="gray125"/>
    </fill>
    <fill>
      <patternFill patternType="solid">
        <fgColor indexed="31"/>
        <bgColor indexed="64"/>
      </patternFill>
    </fill>
    <fill>
      <patternFill patternType="solid">
        <fgColor theme="2"/>
        <bgColor indexed="64"/>
      </patternFill>
    </fill>
    <fill>
      <patternFill patternType="solid">
        <fgColor rgb="FFFFFFCC"/>
      </patternFill>
    </fill>
    <fill>
      <patternFill patternType="solid">
        <fgColor theme="5"/>
      </patternFill>
    </fill>
  </fills>
  <borders count="3">
    <border>
      <left/>
      <right/>
      <top/>
      <bottom/>
      <diagonal/>
    </border>
    <border>
      <left/>
      <right/>
      <top style="medium">
        <color indexed="12"/>
      </top>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2" fillId="0" borderId="0" applyNumberFormat="0" applyFill="0" applyBorder="0" applyAlignment="0" applyProtection="0">
      <alignment vertical="top"/>
      <protection locked="0"/>
    </xf>
    <xf numFmtId="0" fontId="3" fillId="0" borderId="0"/>
    <xf numFmtId="0" fontId="15" fillId="4" borderId="2" applyNumberFormat="0" applyFont="0" applyAlignment="0" applyProtection="0"/>
    <xf numFmtId="0" fontId="16" fillId="5" borderId="0" applyNumberFormat="0" applyBorder="0" applyAlignment="0" applyProtection="0"/>
  </cellStyleXfs>
  <cellXfs count="38">
    <xf numFmtId="0" fontId="0" fillId="0" borderId="0" xfId="0"/>
    <xf numFmtId="0" fontId="8" fillId="2" borderId="0" xfId="0" applyFont="1" applyFill="1" applyAlignment="1" applyProtection="1">
      <alignment horizontal="center"/>
      <protection locked="0"/>
    </xf>
    <xf numFmtId="49" fontId="4" fillId="0" borderId="0" xfId="0" applyNumberFormat="1" applyFont="1"/>
    <xf numFmtId="49" fontId="0" fillId="0" borderId="0" xfId="0" applyNumberFormat="1"/>
    <xf numFmtId="49" fontId="6" fillId="0" borderId="0" xfId="0" applyNumberFormat="1" applyFont="1"/>
    <xf numFmtId="49" fontId="5" fillId="0" borderId="0" xfId="0" applyNumberFormat="1" applyFont="1" applyBorder="1"/>
    <xf numFmtId="49" fontId="5" fillId="0" borderId="0" xfId="0" applyNumberFormat="1" applyFont="1" applyAlignment="1">
      <alignment vertical="top"/>
    </xf>
    <xf numFmtId="0" fontId="0" fillId="0" borderId="0" xfId="0" applyAlignment="1">
      <alignment vertical="top"/>
    </xf>
    <xf numFmtId="49" fontId="5" fillId="0" borderId="0" xfId="0" applyNumberFormat="1" applyFont="1" applyBorder="1" applyAlignment="1">
      <alignment vertical="top"/>
    </xf>
    <xf numFmtId="49" fontId="5" fillId="0" borderId="0" xfId="0" applyNumberFormat="1" applyFont="1" applyBorder="1" applyAlignment="1">
      <alignment vertical="top" wrapText="1"/>
    </xf>
    <xf numFmtId="0" fontId="4" fillId="0" borderId="0" xfId="0" applyFont="1" applyProtection="1"/>
    <xf numFmtId="0" fontId="5" fillId="0" borderId="0" xfId="0" applyFont="1" applyProtection="1"/>
    <xf numFmtId="0" fontId="9" fillId="0" borderId="0" xfId="0" applyFont="1" applyProtection="1"/>
    <xf numFmtId="0" fontId="6" fillId="0" borderId="0" xfId="0" applyFont="1" applyProtection="1"/>
    <xf numFmtId="0" fontId="10" fillId="0" borderId="1" xfId="0" applyFont="1" applyBorder="1" applyProtection="1"/>
    <xf numFmtId="164" fontId="7" fillId="0" borderId="0" xfId="0" applyNumberFormat="1" applyFont="1" applyAlignment="1" applyProtection="1">
      <alignment horizontal="center"/>
    </xf>
    <xf numFmtId="0" fontId="10" fillId="0" borderId="0" xfId="0" applyFont="1" applyBorder="1" applyProtection="1"/>
    <xf numFmtId="0" fontId="11" fillId="0" borderId="0" xfId="0" applyFont="1"/>
    <xf numFmtId="49" fontId="0" fillId="0" borderId="0" xfId="0" applyNumberFormat="1" applyAlignment="1"/>
    <xf numFmtId="165" fontId="5" fillId="0" borderId="0" xfId="0" applyNumberFormat="1" applyFont="1" applyProtection="1"/>
    <xf numFmtId="0" fontId="9" fillId="0" borderId="0" xfId="0" applyFont="1" applyAlignment="1" applyProtection="1">
      <alignment horizontal="center"/>
    </xf>
    <xf numFmtId="164" fontId="5" fillId="0" borderId="0" xfId="0" applyNumberFormat="1" applyFont="1" applyProtection="1"/>
    <xf numFmtId="0" fontId="12" fillId="0" borderId="0" xfId="1" applyFont="1" applyAlignment="1" applyProtection="1"/>
    <xf numFmtId="3" fontId="8" fillId="2" borderId="0" xfId="0" applyNumberFormat="1" applyFont="1" applyFill="1" applyAlignment="1" applyProtection="1">
      <alignment horizontal="center"/>
      <protection locked="0"/>
    </xf>
    <xf numFmtId="164" fontId="9" fillId="0" borderId="0" xfId="0" applyNumberFormat="1" applyFont="1" applyProtection="1"/>
    <xf numFmtId="0" fontId="11" fillId="0" borderId="0" xfId="0" applyFont="1" applyBorder="1"/>
    <xf numFmtId="0" fontId="11" fillId="0" borderId="0" xfId="0" applyFont="1" applyFill="1" applyBorder="1"/>
    <xf numFmtId="0" fontId="13" fillId="3" borderId="0" xfId="0" applyFont="1" applyFill="1" applyBorder="1"/>
    <xf numFmtId="0" fontId="11" fillId="0" borderId="0" xfId="0" applyFont="1" applyAlignment="1">
      <alignment vertical="center"/>
    </xf>
    <xf numFmtId="0" fontId="14" fillId="0" borderId="0" xfId="0" applyFont="1"/>
    <xf numFmtId="0" fontId="11" fillId="0" borderId="0" xfId="0" applyFont="1" applyAlignment="1">
      <alignment wrapText="1"/>
    </xf>
    <xf numFmtId="0" fontId="11" fillId="0" borderId="0" xfId="0" applyFont="1" applyAlignment="1" applyProtection="1">
      <alignment vertical="top"/>
    </xf>
    <xf numFmtId="0" fontId="5" fillId="0" borderId="0" xfId="0" applyFont="1" applyAlignment="1" applyProtection="1">
      <alignment vertical="top"/>
    </xf>
    <xf numFmtId="0" fontId="5" fillId="0" borderId="0" xfId="0" applyFont="1" applyAlignment="1" applyProtection="1">
      <alignment vertical="top" wrapText="1"/>
    </xf>
    <xf numFmtId="0" fontId="11" fillId="0" borderId="0" xfId="0" applyFont="1" applyAlignment="1">
      <alignment vertical="top" wrapText="1"/>
    </xf>
    <xf numFmtId="0" fontId="17" fillId="5" borderId="0" xfId="4" applyFont="1"/>
    <xf numFmtId="0" fontId="18" fillId="4" borderId="2" xfId="3" applyFont="1"/>
    <xf numFmtId="0" fontId="2" fillId="0" borderId="0" xfId="1" applyAlignment="1" applyProtection="1"/>
  </cellXfs>
  <cellStyles count="5">
    <cellStyle name="Accent2" xfId="4" builtinId="33"/>
    <cellStyle name="Hyperlink" xfId="1" builtinId="8"/>
    <cellStyle name="Normal" xfId="0" builtinId="0"/>
    <cellStyle name="Normal 2" xfId="2" xr:uid="{00000000-0005-0000-0000-000003000000}"/>
    <cellStyle name="Note" xfId="3" builtinId="10"/>
  </cellStyles>
  <dxfs count="17">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font>
        <strike val="0"/>
        <outline val="0"/>
        <shadow val="0"/>
        <u val="none"/>
        <vertAlign val="baseline"/>
        <sz val="10"/>
        <color auto="1"/>
        <name val="Calibri"/>
        <scheme val="minor"/>
      </font>
      <numFmt numFmtId="30" formatCode="@"/>
    </dxf>
    <dxf>
      <font>
        <strike val="0"/>
        <outline val="0"/>
        <shadow val="0"/>
        <u val="none"/>
        <vertAlign val="baseline"/>
        <sz val="10"/>
        <color auto="1"/>
        <name val="Calibri"/>
        <scheme val="minor"/>
      </font>
      <numFmt numFmtId="30" formatCode="@"/>
    </dxf>
    <dxf>
      <font>
        <b val="0"/>
        <i val="0"/>
        <strike val="0"/>
        <condense val="0"/>
        <extend val="0"/>
        <outline val="0"/>
        <shadow val="0"/>
        <u val="none"/>
        <vertAlign val="baseline"/>
        <sz val="10"/>
        <color auto="1"/>
        <name val="Calibri"/>
        <scheme val="minor"/>
      </font>
      <numFmt numFmtId="30" formatCode="@"/>
    </dxf>
    <dxf>
      <font>
        <b val="0"/>
        <i val="0"/>
        <strike val="0"/>
        <condense val="0"/>
        <extend val="0"/>
        <outline val="0"/>
        <shadow val="0"/>
        <u val="none"/>
        <vertAlign val="baseline"/>
        <sz val="10"/>
        <color auto="1"/>
        <name val="Calibri"/>
        <scheme val="minor"/>
      </font>
      <numFmt numFmtId="30" formatCode="@"/>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800000</xdr:colOff>
      <xdr:row>5</xdr:row>
      <xdr:rowOff>9413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153400" y="0"/>
          <a:ext cx="800000" cy="89523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19050</xdr:colOff>
          <xdr:row>4</xdr:row>
          <xdr:rowOff>47625</xdr:rowOff>
        </xdr:from>
        <xdr:to>
          <xdr:col>2</xdr:col>
          <xdr:colOff>1504950</xdr:colOff>
          <xdr:row>21</xdr:row>
          <xdr:rowOff>142875</xdr:rowOff>
        </xdr:to>
        <xdr:sp macro="" textlink="">
          <xdr:nvSpPr>
            <xdr:cNvPr id="1028" name="Object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llab001-wfc.sp.chevron.net/sites/ITCLonEhub/networks/Shared%20Documents/L2%20Switch%20Config%20Genera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witch Details"/>
      <sheetName val="Base Config"/>
      <sheetName val="Uplink Config"/>
      <sheetName val="Etherchannel Notes"/>
      <sheetName val="L3 Config"/>
      <sheetName val="Cat3750 Notes"/>
    </sheetNames>
    <sheetDataSet>
      <sheetData sheetId="0">
        <row r="18">
          <cell r="B18" t="str">
            <v>ATY</v>
          </cell>
        </row>
        <row r="19">
          <cell r="B19" t="str">
            <v>GigabitEthernet</v>
          </cell>
        </row>
        <row r="21">
          <cell r="B21" t="str">
            <v>Other</v>
          </cell>
        </row>
      </sheetData>
      <sheetData sheetId="1" refreshError="1"/>
      <sheetData sheetId="2" refreshError="1"/>
      <sheetData sheetId="3" refreshError="1"/>
      <sheetData sheetId="4" refreshError="1"/>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wssvr (1)" connectionId="1" xr16:uid="{00000000-0016-0000-0500-000000000000}" autoFormatId="16" applyNumberFormats="0" applyBorderFormats="0" applyFontFormats="0" applyPatternFormats="0" applyAlignmentFormats="0" applyWidthHeightFormats="0">
  <queryTableRefresh nextId="13">
    <queryTableFields count="10">
      <queryTableField id="2" name="Short name" tableColumnId="1"/>
      <queryTableField id="3" name="Region" tableColumnId="2"/>
      <queryTableField id="4" name="Sub-region" tableColumnId="3"/>
      <queryTableField id="6" name="Hub-Type" tableColumnId="4"/>
      <queryTableField id="7" name="Long name" tableColumnId="5"/>
      <queryTableField id="5" name="ISO Country Code" tableColumnId="6"/>
      <queryTableField id="1" name="Device type" tableColumnId="7"/>
      <queryTableField id="10" name="Loopback" tableColumnId="8"/>
      <queryTableField id="11" name="Look-Glass Grouping" tableColumnId="9"/>
      <queryTableField id="12" name="License Info" tableColumnId="10"/>
    </queryTableFields>
    <queryTableDeletedFields count="2">
      <deletedField name="Path"/>
      <deletedField name="Item Type"/>
    </queryTableDeleted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4:C8" totalsRowShown="0">
  <autoFilter ref="A4:C8" xr:uid="{00000000-0009-0000-0100-000002000000}"/>
  <tableColumns count="3">
    <tableColumn id="1" xr3:uid="{00000000-0010-0000-0000-000001000000}" name="Command" dataDxfId="16"/>
    <tableColumn id="2" xr3:uid="{00000000-0010-0000-0000-000002000000}" name="What it does" dataDxfId="15"/>
    <tableColumn id="3" xr3:uid="{00000000-0010-0000-0000-000003000000}" name="Sample outpu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4:D20" totalsRowShown="0" dataDxfId="14">
  <tableColumns count="4">
    <tableColumn id="1" xr3:uid="{00000000-0010-0000-0100-000001000000}" name="Version" dataDxfId="13"/>
    <tableColumn id="4" xr3:uid="{00000000-0010-0000-0100-000004000000}" name="Date" dataDxfId="12"/>
    <tableColumn id="2" xr3:uid="{00000000-0010-0000-0100-000002000000}" name="Author" dataDxfId="11"/>
    <tableColumn id="3" xr3:uid="{00000000-0010-0000-0100-000003000000}" name="Comments" dataDxfId="1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owssvr__1" displayName="Table_owssvr__1" ref="A1:J122" tableType="queryTable" totalsRowShown="0">
  <autoFilter ref="A1:J122" xr:uid="{00000000-0009-0000-0100-000003000000}"/>
  <tableColumns count="10">
    <tableColumn id="1" xr3:uid="{00000000-0010-0000-0200-000001000000}" uniqueName="Title" name="Short name" queryTableFieldId="2" dataDxfId="9"/>
    <tableColumn id="2" xr3:uid="{00000000-0010-0000-0200-000002000000}" uniqueName="Region" name="Region" queryTableFieldId="3" dataDxfId="8"/>
    <tableColumn id="3" xr3:uid="{00000000-0010-0000-0200-000003000000}" uniqueName="Sub_x005f_x002d_region" name="Sub-region" queryTableFieldId="4" dataDxfId="7"/>
    <tableColumn id="4" xr3:uid="{00000000-0010-0000-0200-000004000000}" uniqueName="Hub_x005f_x002d_Type" name="Hub-Type" queryTableFieldId="6" dataDxfId="6"/>
    <tableColumn id="5" xr3:uid="{00000000-0010-0000-0200-000005000000}" uniqueName="Long_x005f_x0020_name" name="Long name" queryTableFieldId="7" dataDxfId="5"/>
    <tableColumn id="6" xr3:uid="{00000000-0010-0000-0200-000006000000}" uniqueName="ISO_x005f_x0020_Country_x005f_x0020_Code" name="ISO Country Code" queryTableFieldId="5" dataDxfId="4"/>
    <tableColumn id="7" xr3:uid="{00000000-0010-0000-0200-000007000000}" uniqueName="Device_x005f_x0020_type" name="Device type" queryTableFieldId="1" dataDxfId="3"/>
    <tableColumn id="8" xr3:uid="{9FFBAD34-DA69-408F-A507-D2E69DEA2A1D}" uniqueName="Loopback" name="Loopback" queryTableFieldId="10" dataDxfId="2"/>
    <tableColumn id="9" xr3:uid="{09DD7A6E-6A65-43BF-9883-EBBCA822A96E}" uniqueName="Look_x005f_x002d_Glass_x005f_x0020_Grouping" name="Look-Glass Grouping" queryTableFieldId="11" dataDxfId="1"/>
    <tableColumn id="10" xr3:uid="{D7EE24A4-D17B-493F-8F25-F876E1FC4D81}" uniqueName="License_x005f_x0020_Info" name="License Info" queryTableFieldId="12"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chevron.sharepoint.com/sites/naspark/Core%20Documentation/NNGW%20Core%20IP%20addressing%20plan.xlsx" TargetMode="External"/><Relationship Id="rId1" Type="http://schemas.openxmlformats.org/officeDocument/2006/relationships/hyperlink" Target="https://chevron.sharepoint.com/sites/naspark/Lists/CoreRouters/AllItems.aspx" TargetMode="External"/><Relationship Id="rId6" Type="http://schemas.openxmlformats.org/officeDocument/2006/relationships/oleObject" Target="../embeddings/Microsoft_Visio_2003-2010_Drawing.vsd"/><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5"/>
  <sheetViews>
    <sheetView tabSelected="1" workbookViewId="0">
      <selection activeCell="B31" sqref="B31"/>
    </sheetView>
  </sheetViews>
  <sheetFormatPr defaultColWidth="9.140625" defaultRowHeight="12.75" x14ac:dyDescent="0.2"/>
  <cols>
    <col min="1" max="1" width="38" style="11" customWidth="1"/>
    <col min="2" max="2" width="38.42578125" style="11" bestFit="1" customWidth="1"/>
    <col min="3" max="3" width="45.85546875" style="11" bestFit="1" customWidth="1"/>
    <col min="4" max="4" width="38.28515625" style="11" customWidth="1"/>
    <col min="5" max="16384" width="9.140625" style="11"/>
  </cols>
  <sheetData>
    <row r="1" spans="1:1" ht="18.75" x14ac:dyDescent="0.3">
      <c r="A1" s="10" t="s">
        <v>215</v>
      </c>
    </row>
    <row r="2" spans="1:1" s="12" customFormat="1" x14ac:dyDescent="0.2">
      <c r="A2" s="12" t="s">
        <v>216</v>
      </c>
    </row>
    <row r="3" spans="1:1" s="12" customFormat="1" x14ac:dyDescent="0.2">
      <c r="A3" s="13" t="s">
        <v>1</v>
      </c>
    </row>
    <row r="4" spans="1:1" s="13" customFormat="1" x14ac:dyDescent="0.2">
      <c r="A4" s="13" t="s">
        <v>217</v>
      </c>
    </row>
    <row r="5" spans="1:1" s="13" customFormat="1" x14ac:dyDescent="0.2"/>
    <row r="6" spans="1:1" s="13" customFormat="1" x14ac:dyDescent="0.2"/>
    <row r="7" spans="1:1" s="13" customFormat="1" x14ac:dyDescent="0.2"/>
    <row r="20" spans="1:8" customFormat="1" x14ac:dyDescent="0.2"/>
    <row r="23" spans="1:8" ht="13.5" thickBot="1" x14ac:dyDescent="0.25"/>
    <row r="24" spans="1:8" s="14" customFormat="1" x14ac:dyDescent="0.2">
      <c r="A24" s="14" t="s">
        <v>220</v>
      </c>
    </row>
    <row r="25" spans="1:8" s="16" customFormat="1" x14ac:dyDescent="0.2">
      <c r="A25" s="37" t="s">
        <v>26</v>
      </c>
      <c r="B25" s="1" t="s">
        <v>594</v>
      </c>
    </row>
    <row r="26" spans="1:8" x14ac:dyDescent="0.2">
      <c r="A26" s="37" t="s">
        <v>27</v>
      </c>
      <c r="B26" s="23" t="s">
        <v>595</v>
      </c>
      <c r="C26" s="24" t="b">
        <f>isvalidloopbackaddress(LoopbackIP)</f>
        <v>1</v>
      </c>
      <c r="H26" s="15"/>
    </row>
    <row r="27" spans="1:8" x14ac:dyDescent="0.2">
      <c r="B27" s="11" t="s">
        <v>219</v>
      </c>
    </row>
    <row r="28" spans="1:8" x14ac:dyDescent="0.2">
      <c r="A28" s="11" t="s">
        <v>218</v>
      </c>
      <c r="B28" s="1" t="s">
        <v>603</v>
      </c>
      <c r="C28" s="12"/>
      <c r="H28" s="15"/>
    </row>
    <row r="29" spans="1:8" x14ac:dyDescent="0.2">
      <c r="A29" s="11" t="s">
        <v>29</v>
      </c>
      <c r="B29" s="1" t="s">
        <v>604</v>
      </c>
      <c r="C29" s="12"/>
      <c r="H29" s="15"/>
    </row>
    <row r="30" spans="1:8" x14ac:dyDescent="0.2">
      <c r="A30" s="11" t="s">
        <v>606</v>
      </c>
      <c r="B30" s="1">
        <v>0</v>
      </c>
      <c r="C30" s="12"/>
      <c r="H30" s="15"/>
    </row>
    <row r="31" spans="1:8" x14ac:dyDescent="0.2">
      <c r="A31" s="22" t="s">
        <v>30</v>
      </c>
      <c r="B31" s="1" t="s">
        <v>605</v>
      </c>
      <c r="C31" s="24" t="b">
        <f>isvalidIP(D31)</f>
        <v>1</v>
      </c>
      <c r="D31" s="21" t="str">
        <f t="array" ref="D31:E31">StringToArray(B31,"/")</f>
        <v>139.65.229.203</v>
      </c>
      <c r="E31" s="21" t="str">
        <v>31</v>
      </c>
      <c r="F31" s="21" t="b">
        <f>IF(E31="31",TRUE,FALSE)</f>
        <v>1</v>
      </c>
      <c r="H31" s="15"/>
    </row>
    <row r="32" spans="1:8" ht="13.5" thickBot="1" x14ac:dyDescent="0.25">
      <c r="C32" s="12"/>
      <c r="H32" s="15"/>
    </row>
    <row r="33" spans="1:8" s="14" customFormat="1" x14ac:dyDescent="0.2">
      <c r="A33" s="14" t="s">
        <v>221</v>
      </c>
    </row>
    <row r="34" spans="1:8" x14ac:dyDescent="0.2">
      <c r="A34" s="11" t="s">
        <v>28</v>
      </c>
      <c r="B34" s="20" t="str">
        <f>"49."&amp;TEXT(D34,"0000")&amp;"."&amp;TEXT(E34,"0000")&amp;"."&amp;TEXT(F34,"0000")&amp;"."&amp;TEXT(G34,"0000")&amp;".00"</f>
        <v>49.0139.0065.0224.0030.00</v>
      </c>
      <c r="C34" s="16"/>
      <c r="D34" s="21" t="str">
        <f t="array" ref="D34:G34">StringToArray(LoopbackIP,".")</f>
        <v>139</v>
      </c>
      <c r="E34" s="21" t="str">
        <v>65</v>
      </c>
      <c r="F34" s="21" t="str">
        <v>224</v>
      </c>
      <c r="G34" s="21" t="str">
        <v>30</v>
      </c>
      <c r="H34" s="15"/>
    </row>
    <row r="35" spans="1:8" x14ac:dyDescent="0.2">
      <c r="C35" s="16"/>
      <c r="D35" s="19"/>
      <c r="E35" s="19"/>
      <c r="F35" s="19"/>
      <c r="G35" s="19"/>
      <c r="H35" s="15"/>
    </row>
  </sheetData>
  <sheetProtection selectLockedCells="1"/>
  <phoneticPr fontId="1" type="noConversion"/>
  <dataValidations count="6">
    <dataValidation type="list" allowBlank="1" showInputMessage="1" showErrorMessage="1" sqref="B25" xr:uid="{00000000-0002-0000-0000-000000000000}">
      <formula1>LongRouterNames</formula1>
    </dataValidation>
    <dataValidation allowBlank="1" showInputMessage="1" showErrorMessage="1" promptTitle="WAN Interface" prompt="Physical WAN interface connected to the remote PE._x000a_Normally xe-1/2/0" sqref="B28" xr:uid="{00000000-0002-0000-0000-000001000000}"/>
    <dataValidation type="list" allowBlank="1" showInputMessage="1" showErrorMessage="1" promptTitle="AE Bundle" prompt="The name of the aggregated ethernet bundle interface_x000a_Normally AE1" sqref="B29" xr:uid="{00000000-0002-0000-0000-000002000000}">
      <formula1>"ae0,ae1,ae2,ae3,ae4,ae5"</formula1>
    </dataValidation>
    <dataValidation type="custom" allowBlank="1" showInputMessage="1" showErrorMessage="1" errorTitle="Invalid IP" error="IP address is incorrect._x000a_Needs to be in format 139.65.22x.yyy/31" promptTitle="IP address" prompt="IP address assigned to the WAN link in address/mask format._x000a_See spreadsheet for next available /31 subnet" sqref="B31" xr:uid="{00000000-0002-0000-0000-000003000000}">
      <formula1>IF(C31=TRUE,IF(F31=TRUE,TRUE,FALSE),FALSE)</formula1>
    </dataValidation>
    <dataValidation type="custom" allowBlank="1" showInputMessage="1" showErrorMessage="1" errorTitle="Invalid Loopback Address" error="Please check your loopback address is in the correct range" promptTitle="Loopback address" prompt="Enter a loopback address in the ranges:_x000a_139.65.224.0/24 - Americas_x000a_139.65.225.0/24 - EMEA_x000a_139.65.226.0/24 - Asia Pacific_x000a_(see spreadsheet for details)" sqref="B26" xr:uid="{00000000-0002-0000-0000-000004000000}">
      <formula1>C26</formula1>
    </dataValidation>
    <dataValidation type="whole" allowBlank="1" showInputMessage="1" showErrorMessage="1" promptTitle="VLAN " prompt="0 for untagged_x000a_vlan number if using vlan-tagging" sqref="B30" xr:uid="{D04F8C27-40F5-4062-B45B-AFF9A465A8E5}">
      <formula1>0</formula1>
      <formula2>4094</formula2>
    </dataValidation>
  </dataValidations>
  <hyperlinks>
    <hyperlink ref="A25" r:id="rId1" xr:uid="{00000000-0004-0000-0000-000000000000}"/>
    <hyperlink ref="A26" r:id="rId2" xr:uid="{00000000-0004-0000-0000-000001000000}"/>
  </hyperlinks>
  <pageMargins left="0.75" right="0.75" top="1" bottom="1" header="0.5" footer="0.5"/>
  <pageSetup paperSize="9" orientation="portrait" horizontalDpi="4294967293" r:id="rId3"/>
  <headerFooter alignWithMargins="0"/>
  <drawing r:id="rId4"/>
  <legacyDrawing r:id="rId5"/>
  <oleObjects>
    <mc:AlternateContent xmlns:mc="http://schemas.openxmlformats.org/markup-compatibility/2006">
      <mc:Choice Requires="x14">
        <oleObject progId="Visio.Drawing.11" shapeId="1028" r:id="rId6">
          <objectPr defaultSize="0" autoPict="0" r:id="rId7">
            <anchor moveWithCells="1">
              <from>
                <xdr:col>0</xdr:col>
                <xdr:colOff>19050</xdr:colOff>
                <xdr:row>4</xdr:row>
                <xdr:rowOff>47625</xdr:rowOff>
              </from>
              <to>
                <xdr:col>2</xdr:col>
                <xdr:colOff>1504950</xdr:colOff>
                <xdr:row>21</xdr:row>
                <xdr:rowOff>142875</xdr:rowOff>
              </to>
            </anchor>
          </objectPr>
        </oleObject>
      </mc:Choice>
      <mc:Fallback>
        <oleObject progId="Visio.Drawing.11" shapeId="1028" r:id="rId6"/>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71"/>
  <sheetViews>
    <sheetView topLeftCell="A142" workbookViewId="0">
      <selection activeCell="A169" sqref="A169"/>
    </sheetView>
  </sheetViews>
  <sheetFormatPr defaultColWidth="9.140625" defaultRowHeight="12.75" x14ac:dyDescent="0.2"/>
  <cols>
    <col min="1" max="1" width="126.28515625" style="17" customWidth="1"/>
    <col min="2" max="3" width="9.140625" style="25"/>
    <col min="4" max="4" width="11.7109375" style="25" customWidth="1"/>
    <col min="5" max="16384" width="9.140625" style="17"/>
  </cols>
  <sheetData>
    <row r="1" spans="1:1" ht="18.75" x14ac:dyDescent="0.3">
      <c r="A1" s="35" t="s">
        <v>394</v>
      </c>
    </row>
    <row r="2" spans="1:1" ht="15.75" x14ac:dyDescent="0.25">
      <c r="A2" s="36" t="s">
        <v>398</v>
      </c>
    </row>
    <row r="3" spans="1:1" x14ac:dyDescent="0.2">
      <c r="A3" s="17" t="s">
        <v>31</v>
      </c>
    </row>
    <row r="4" spans="1:1" x14ac:dyDescent="0.2">
      <c r="A4" s="27" t="str">
        <f>"    host-name "&amp;Hostname&amp;";"</f>
        <v xml:space="preserve">    host-name NA-BR-SP-A-F09153-PE2;</v>
      </c>
    </row>
    <row r="5" spans="1:1" x14ac:dyDescent="0.2">
      <c r="A5" s="17" t="s">
        <v>397</v>
      </c>
    </row>
    <row r="6" spans="1:1" x14ac:dyDescent="0.2">
      <c r="A6" s="17" t="s">
        <v>32</v>
      </c>
    </row>
    <row r="7" spans="1:1" x14ac:dyDescent="0.2">
      <c r="A7" s="17" t="s">
        <v>33</v>
      </c>
    </row>
    <row r="8" spans="1:1" x14ac:dyDescent="0.2">
      <c r="A8" s="17" t="s">
        <v>34</v>
      </c>
    </row>
    <row r="9" spans="1:1" x14ac:dyDescent="0.2">
      <c r="A9" s="17" t="s">
        <v>35</v>
      </c>
    </row>
    <row r="10" spans="1:1" x14ac:dyDescent="0.2">
      <c r="A10" s="17" t="s">
        <v>36</v>
      </c>
    </row>
    <row r="11" spans="1:1" x14ac:dyDescent="0.2">
      <c r="A11" s="17" t="s">
        <v>246</v>
      </c>
    </row>
    <row r="12" spans="1:1" x14ac:dyDescent="0.2">
      <c r="A12" s="17" t="s">
        <v>248</v>
      </c>
    </row>
    <row r="13" spans="1:1" x14ac:dyDescent="0.2">
      <c r="A13" s="17" t="s">
        <v>37</v>
      </c>
    </row>
    <row r="14" spans="1:1" x14ac:dyDescent="0.2">
      <c r="A14" s="17" t="s">
        <v>38</v>
      </c>
    </row>
    <row r="15" spans="1:1" x14ac:dyDescent="0.2">
      <c r="A15" s="17" t="s">
        <v>249</v>
      </c>
    </row>
    <row r="16" spans="1:1" x14ac:dyDescent="0.2">
      <c r="A16" s="17" t="s">
        <v>39</v>
      </c>
    </row>
    <row r="17" spans="1:1" x14ac:dyDescent="0.2">
      <c r="A17" s="17" t="s">
        <v>40</v>
      </c>
    </row>
    <row r="18" spans="1:1" x14ac:dyDescent="0.2">
      <c r="A18" s="17" t="s">
        <v>41</v>
      </c>
    </row>
    <row r="19" spans="1:1" x14ac:dyDescent="0.2">
      <c r="A19" s="17" t="s">
        <v>37</v>
      </c>
    </row>
    <row r="20" spans="1:1" x14ac:dyDescent="0.2">
      <c r="A20" s="17" t="s">
        <v>38</v>
      </c>
    </row>
    <row r="21" spans="1:1" x14ac:dyDescent="0.2">
      <c r="A21" s="17" t="s">
        <v>611</v>
      </c>
    </row>
    <row r="22" spans="1:1" x14ac:dyDescent="0.2">
      <c r="A22" s="17" t="s">
        <v>39</v>
      </c>
    </row>
    <row r="23" spans="1:1" x14ac:dyDescent="0.2">
      <c r="A23" s="17" t="s">
        <v>40</v>
      </c>
    </row>
    <row r="24" spans="1:1" x14ac:dyDescent="0.2">
      <c r="A24" s="17" t="s">
        <v>35</v>
      </c>
    </row>
    <row r="25" spans="1:1" x14ac:dyDescent="0.2">
      <c r="A25" s="17" t="s">
        <v>42</v>
      </c>
    </row>
    <row r="26" spans="1:1" x14ac:dyDescent="0.2">
      <c r="A26" s="17" t="s">
        <v>43</v>
      </c>
    </row>
    <row r="27" spans="1:1" x14ac:dyDescent="0.2">
      <c r="A27" s="17" t="s">
        <v>44</v>
      </c>
    </row>
    <row r="28" spans="1:1" x14ac:dyDescent="0.2">
      <c r="A28" s="17" t="s">
        <v>45</v>
      </c>
    </row>
    <row r="29" spans="1:1" x14ac:dyDescent="0.2">
      <c r="A29" s="17" t="s">
        <v>40</v>
      </c>
    </row>
    <row r="30" spans="1:1" x14ac:dyDescent="0.2">
      <c r="A30" s="17" t="s">
        <v>35</v>
      </c>
    </row>
    <row r="31" spans="1:1" x14ac:dyDescent="0.2">
      <c r="A31" s="17" t="s">
        <v>46</v>
      </c>
    </row>
    <row r="32" spans="1:1" x14ac:dyDescent="0.2">
      <c r="A32" s="17" t="s">
        <v>47</v>
      </c>
    </row>
    <row r="33" spans="1:4" x14ac:dyDescent="0.2">
      <c r="A33" s="17" t="s">
        <v>48</v>
      </c>
    </row>
    <row r="34" spans="1:4" x14ac:dyDescent="0.2">
      <c r="A34" s="17" t="s">
        <v>49</v>
      </c>
    </row>
    <row r="35" spans="1:4" x14ac:dyDescent="0.2">
      <c r="A35" s="17" t="s">
        <v>50</v>
      </c>
    </row>
    <row r="36" spans="1:4" x14ac:dyDescent="0.2">
      <c r="A36" s="17" t="s">
        <v>51</v>
      </c>
    </row>
    <row r="37" spans="1:4" x14ac:dyDescent="0.2">
      <c r="A37" s="17" t="s">
        <v>35</v>
      </c>
    </row>
    <row r="38" spans="1:4" x14ac:dyDescent="0.2">
      <c r="A38" s="17" t="s">
        <v>52</v>
      </c>
    </row>
    <row r="39" spans="1:4" x14ac:dyDescent="0.2">
      <c r="A39" s="17" t="s">
        <v>53</v>
      </c>
    </row>
    <row r="40" spans="1:4" x14ac:dyDescent="0.2">
      <c r="A40" s="17" t="s">
        <v>54</v>
      </c>
    </row>
    <row r="41" spans="1:4" x14ac:dyDescent="0.2">
      <c r="A41" s="17" t="s">
        <v>40</v>
      </c>
    </row>
    <row r="42" spans="1:4" x14ac:dyDescent="0.2">
      <c r="A42" s="17" t="s">
        <v>35</v>
      </c>
    </row>
    <row r="43" spans="1:4" x14ac:dyDescent="0.2">
      <c r="A43" s="17" t="s">
        <v>251</v>
      </c>
    </row>
    <row r="44" spans="1:4" x14ac:dyDescent="0.2">
      <c r="A44" s="17" t="s">
        <v>47</v>
      </c>
    </row>
    <row r="45" spans="1:4" x14ac:dyDescent="0.2">
      <c r="A45" s="17" t="s">
        <v>55</v>
      </c>
    </row>
    <row r="46" spans="1:4" x14ac:dyDescent="0.2">
      <c r="A46" s="17" t="s">
        <v>56</v>
      </c>
    </row>
    <row r="47" spans="1:4" x14ac:dyDescent="0.2">
      <c r="A47" s="17" t="s">
        <v>57</v>
      </c>
      <c r="B47" s="26"/>
      <c r="C47" s="26"/>
      <c r="D47" s="26"/>
    </row>
    <row r="48" spans="1:4" x14ac:dyDescent="0.2">
      <c r="A48" s="17" t="s">
        <v>58</v>
      </c>
    </row>
    <row r="49" spans="1:4" x14ac:dyDescent="0.2">
      <c r="A49" s="27" t="str">
        <f>"            address "&amp;LoopbackIP&amp;"/32;"</f>
        <v xml:space="preserve">            address 139.65.224.30/32;</v>
      </c>
    </row>
    <row r="50" spans="1:4" x14ac:dyDescent="0.2">
      <c r="A50" s="17" t="s">
        <v>39</v>
      </c>
      <c r="B50" s="26"/>
      <c r="C50" s="26"/>
      <c r="D50" s="26"/>
    </row>
    <row r="51" spans="1:4" x14ac:dyDescent="0.2">
      <c r="A51" s="17" t="s">
        <v>59</v>
      </c>
    </row>
    <row r="52" spans="1:4" x14ac:dyDescent="0.2">
      <c r="A52" s="27" t="str">
        <f>"            address "&amp;ISOAddress&amp;";"</f>
        <v xml:space="preserve">            address 49.0139.0065.0224.0030.00;</v>
      </c>
    </row>
    <row r="53" spans="1:4" x14ac:dyDescent="0.2">
      <c r="A53" s="17" t="s">
        <v>39</v>
      </c>
    </row>
    <row r="54" spans="1:4" x14ac:dyDescent="0.2">
      <c r="A54" s="17" t="s">
        <v>40</v>
      </c>
      <c r="B54" s="26"/>
      <c r="C54" s="26"/>
      <c r="D54" s="26"/>
    </row>
    <row r="55" spans="1:4" x14ac:dyDescent="0.2">
      <c r="A55" s="17" t="s">
        <v>35</v>
      </c>
    </row>
    <row r="56" spans="1:4" x14ac:dyDescent="0.2">
      <c r="A56" s="27" t="str">
        <f>"    "&amp;physicalInterface&amp;" {"</f>
        <v xml:space="preserve">    xe-0/1/5 {</v>
      </c>
      <c r="B56" s="26"/>
      <c r="C56" s="26"/>
      <c r="D56" s="26"/>
    </row>
    <row r="57" spans="1:4" x14ac:dyDescent="0.2">
      <c r="A57" s="17" t="s">
        <v>60</v>
      </c>
    </row>
    <row r="58" spans="1:4" x14ac:dyDescent="0.2">
      <c r="A58" s="27" t="str">
        <f>"            802.3ad "&amp;aeInterface&amp;";"</f>
        <v xml:space="preserve">            802.3ad ae1;</v>
      </c>
    </row>
    <row r="59" spans="1:4" x14ac:dyDescent="0.2">
      <c r="A59" s="17" t="s">
        <v>40</v>
      </c>
      <c r="B59" s="26"/>
      <c r="C59" s="26"/>
      <c r="D59" s="26"/>
    </row>
    <row r="60" spans="1:4" x14ac:dyDescent="0.2">
      <c r="A60" s="17" t="s">
        <v>35</v>
      </c>
    </row>
    <row r="61" spans="1:4" x14ac:dyDescent="0.2">
      <c r="A61" s="27" t="str">
        <f>"    "&amp;aeInterface&amp;" {"</f>
        <v xml:space="preserve">    ae1 {</v>
      </c>
    </row>
    <row r="62" spans="1:4" x14ac:dyDescent="0.2">
      <c r="A62" s="27" t="str">
        <f>IF(VLAN&gt;0,"        flexible vlan-tagging;","")</f>
        <v/>
      </c>
    </row>
    <row r="63" spans="1:4" x14ac:dyDescent="0.2">
      <c r="A63" s="27" t="str">
        <f>IF(VLAN&gt;0,"        per-unit-scheduler;","")</f>
        <v/>
      </c>
    </row>
    <row r="64" spans="1:4" x14ac:dyDescent="0.2">
      <c r="A64" s="27" t="str">
        <f>IF(VLAN&gt;0,"        mtu 1610;","")</f>
        <v/>
      </c>
      <c r="B64" s="26"/>
      <c r="C64" s="26"/>
      <c r="D64" s="26"/>
    </row>
    <row r="65" spans="1:4" x14ac:dyDescent="0.2">
      <c r="A65" s="17" t="s">
        <v>61</v>
      </c>
    </row>
    <row r="66" spans="1:4" x14ac:dyDescent="0.2">
      <c r="A66" s="17" t="s">
        <v>62</v>
      </c>
    </row>
    <row r="67" spans="1:4" x14ac:dyDescent="0.2">
      <c r="A67" s="17" t="s">
        <v>63</v>
      </c>
    </row>
    <row r="68" spans="1:4" x14ac:dyDescent="0.2">
      <c r="A68" s="17" t="s">
        <v>64</v>
      </c>
    </row>
    <row r="69" spans="1:4" x14ac:dyDescent="0.2">
      <c r="A69" s="17" t="s">
        <v>39</v>
      </c>
    </row>
    <row r="70" spans="1:4" x14ac:dyDescent="0.2">
      <c r="A70" s="17" t="s">
        <v>40</v>
      </c>
    </row>
    <row r="71" spans="1:4" x14ac:dyDescent="0.2">
      <c r="A71" s="17" t="str">
        <f>"        unit "&amp;VLAN&amp;" {"</f>
        <v xml:space="preserve">        unit 0 {</v>
      </c>
      <c r="B71" s="26"/>
      <c r="C71" s="26"/>
      <c r="D71" s="26"/>
    </row>
    <row r="72" spans="1:4" x14ac:dyDescent="0.2">
      <c r="A72" s="27" t="str">
        <f>IF(VLAN&gt;0,"            vlan-id "&amp;VLAN&amp;";","")</f>
        <v/>
      </c>
      <c r="B72" s="26"/>
      <c r="C72" s="26"/>
      <c r="D72" s="26"/>
    </row>
    <row r="73" spans="1:4" x14ac:dyDescent="0.2">
      <c r="A73" s="17" t="s">
        <v>58</v>
      </c>
    </row>
    <row r="74" spans="1:4" x14ac:dyDescent="0.2">
      <c r="A74" s="27" t="str">
        <f>"            address "&amp;AEip&amp;";"</f>
        <v xml:space="preserve">            address 139.65.229.203/31;</v>
      </c>
    </row>
    <row r="75" spans="1:4" x14ac:dyDescent="0.2">
      <c r="A75" s="17" t="s">
        <v>39</v>
      </c>
    </row>
    <row r="76" spans="1:4" x14ac:dyDescent="0.2">
      <c r="A76" s="17" t="s">
        <v>40</v>
      </c>
    </row>
    <row r="77" spans="1:4" x14ac:dyDescent="0.2">
      <c r="A77" s="17" t="s">
        <v>35</v>
      </c>
    </row>
    <row r="78" spans="1:4" x14ac:dyDescent="0.2">
      <c r="A78" s="17" t="s">
        <v>47</v>
      </c>
    </row>
    <row r="79" spans="1:4" x14ac:dyDescent="0.2">
      <c r="A79" s="17" t="s">
        <v>103</v>
      </c>
      <c r="B79" s="26"/>
      <c r="C79" s="26"/>
      <c r="D79" s="26"/>
    </row>
    <row r="80" spans="1:4" x14ac:dyDescent="0.2">
      <c r="A80" s="17" t="s">
        <v>104</v>
      </c>
    </row>
    <row r="81" spans="1:1" x14ac:dyDescent="0.2">
      <c r="A81" s="27" t="str">
        <f>"    router-id "&amp;LoopbackIP&amp;";"</f>
        <v xml:space="preserve">    router-id 139.65.224.30;</v>
      </c>
    </row>
    <row r="82" spans="1:1" x14ac:dyDescent="0.2">
      <c r="A82" s="17" t="s">
        <v>47</v>
      </c>
    </row>
    <row r="83" spans="1:1" x14ac:dyDescent="0.2">
      <c r="A83" s="17" t="s">
        <v>105</v>
      </c>
    </row>
    <row r="84" spans="1:1" x14ac:dyDescent="0.2">
      <c r="A84" s="17" t="s">
        <v>106</v>
      </c>
    </row>
    <row r="85" spans="1:1" x14ac:dyDescent="0.2">
      <c r="A85" s="17" t="s">
        <v>107</v>
      </c>
    </row>
    <row r="86" spans="1:1" x14ac:dyDescent="0.2">
      <c r="A86" s="17" t="s">
        <v>250</v>
      </c>
    </row>
    <row r="87" spans="1:1" x14ac:dyDescent="0.2">
      <c r="A87" s="17" t="s">
        <v>35</v>
      </c>
    </row>
    <row r="88" spans="1:1" x14ac:dyDescent="0.2">
      <c r="A88" s="17" t="s">
        <v>47</v>
      </c>
    </row>
    <row r="89" spans="1:1" x14ac:dyDescent="0.2">
      <c r="A89" s="17" t="s">
        <v>108</v>
      </c>
    </row>
    <row r="90" spans="1:1" x14ac:dyDescent="0.2">
      <c r="A90" s="17" t="s">
        <v>109</v>
      </c>
    </row>
    <row r="91" spans="1:1" x14ac:dyDescent="0.2">
      <c r="A91" s="17" t="s">
        <v>110</v>
      </c>
    </row>
    <row r="92" spans="1:1" x14ac:dyDescent="0.2">
      <c r="A92" s="17" t="s">
        <v>111</v>
      </c>
    </row>
    <row r="93" spans="1:1" x14ac:dyDescent="0.2">
      <c r="A93" s="17" t="s">
        <v>112</v>
      </c>
    </row>
    <row r="94" spans="1:1" x14ac:dyDescent="0.2">
      <c r="A94" s="17" t="s">
        <v>113</v>
      </c>
    </row>
    <row r="95" spans="1:1" x14ac:dyDescent="0.2">
      <c r="A95" s="17" t="s">
        <v>114</v>
      </c>
    </row>
    <row r="96" spans="1:1" x14ac:dyDescent="0.2">
      <c r="A96" s="17" t="s">
        <v>115</v>
      </c>
    </row>
    <row r="97" spans="1:1" x14ac:dyDescent="0.2">
      <c r="A97" s="17" t="s">
        <v>116</v>
      </c>
    </row>
    <row r="98" spans="1:1" x14ac:dyDescent="0.2">
      <c r="A98" s="17" t="s">
        <v>39</v>
      </c>
    </row>
    <row r="99" spans="1:1" x14ac:dyDescent="0.2">
      <c r="A99" s="17" t="s">
        <v>40</v>
      </c>
    </row>
    <row r="100" spans="1:1" x14ac:dyDescent="0.2">
      <c r="A100" s="17" t="s">
        <v>117</v>
      </c>
    </row>
    <row r="101" spans="1:1" x14ac:dyDescent="0.2">
      <c r="A101" s="17" t="s">
        <v>118</v>
      </c>
    </row>
    <row r="102" spans="1:1" x14ac:dyDescent="0.2">
      <c r="A102" s="17" t="s">
        <v>119</v>
      </c>
    </row>
    <row r="103" spans="1:1" x14ac:dyDescent="0.2">
      <c r="A103" s="17" t="s">
        <v>120</v>
      </c>
    </row>
    <row r="104" spans="1:1" x14ac:dyDescent="0.2">
      <c r="A104" s="17" t="s">
        <v>114</v>
      </c>
    </row>
    <row r="105" spans="1:1" x14ac:dyDescent="0.2">
      <c r="A105" s="17" t="s">
        <v>115</v>
      </c>
    </row>
    <row r="106" spans="1:1" x14ac:dyDescent="0.2">
      <c r="A106" s="17" t="s">
        <v>116</v>
      </c>
    </row>
    <row r="107" spans="1:1" x14ac:dyDescent="0.2">
      <c r="A107" s="17" t="s">
        <v>39</v>
      </c>
    </row>
    <row r="108" spans="1:1" x14ac:dyDescent="0.2">
      <c r="A108" s="17" t="s">
        <v>40</v>
      </c>
    </row>
    <row r="109" spans="1:1" x14ac:dyDescent="0.2">
      <c r="A109" s="17" t="s">
        <v>244</v>
      </c>
    </row>
    <row r="110" spans="1:1" x14ac:dyDescent="0.2">
      <c r="A110" s="17" t="s">
        <v>112</v>
      </c>
    </row>
    <row r="111" spans="1:1" x14ac:dyDescent="0.2">
      <c r="A111" s="17" t="s">
        <v>245</v>
      </c>
    </row>
    <row r="112" spans="1:1" x14ac:dyDescent="0.2">
      <c r="A112" s="17" t="s">
        <v>114</v>
      </c>
    </row>
    <row r="113" spans="1:1" x14ac:dyDescent="0.2">
      <c r="A113" s="17" t="s">
        <v>115</v>
      </c>
    </row>
    <row r="114" spans="1:1" x14ac:dyDescent="0.2">
      <c r="A114" s="17" t="s">
        <v>116</v>
      </c>
    </row>
    <row r="115" spans="1:1" x14ac:dyDescent="0.2">
      <c r="A115" s="17" t="s">
        <v>39</v>
      </c>
    </row>
    <row r="116" spans="1:1" x14ac:dyDescent="0.2">
      <c r="A116" s="17" t="s">
        <v>40</v>
      </c>
    </row>
    <row r="117" spans="1:1" x14ac:dyDescent="0.2">
      <c r="A117" s="17" t="s">
        <v>35</v>
      </c>
    </row>
    <row r="118" spans="1:1" x14ac:dyDescent="0.2">
      <c r="A118" s="17" t="s">
        <v>47</v>
      </c>
    </row>
    <row r="119" spans="1:1" x14ac:dyDescent="0.2">
      <c r="A119" s="17" t="s">
        <v>121</v>
      </c>
    </row>
    <row r="120" spans="1:1" x14ac:dyDescent="0.2">
      <c r="A120" s="17" t="s">
        <v>122</v>
      </c>
    </row>
    <row r="121" spans="1:1" x14ac:dyDescent="0.2">
      <c r="A121" s="17" t="s">
        <v>123</v>
      </c>
    </row>
    <row r="122" spans="1:1" x14ac:dyDescent="0.2">
      <c r="A122" s="17" t="s">
        <v>124</v>
      </c>
    </row>
    <row r="123" spans="1:1" x14ac:dyDescent="0.2">
      <c r="A123" s="17" t="s">
        <v>247</v>
      </c>
    </row>
    <row r="124" spans="1:1" x14ac:dyDescent="0.2">
      <c r="A124" s="17" t="s">
        <v>607</v>
      </c>
    </row>
    <row r="125" spans="1:1" x14ac:dyDescent="0.2">
      <c r="A125" s="17" t="s">
        <v>125</v>
      </c>
    </row>
    <row r="126" spans="1:1" x14ac:dyDescent="0.2">
      <c r="A126" s="17" t="s">
        <v>126</v>
      </c>
    </row>
    <row r="127" spans="1:1" x14ac:dyDescent="0.2">
      <c r="A127" s="17" t="s">
        <v>72</v>
      </c>
    </row>
    <row r="128" spans="1:1" x14ac:dyDescent="0.2">
      <c r="A128" s="17" t="s">
        <v>39</v>
      </c>
    </row>
    <row r="129" spans="1:1" x14ac:dyDescent="0.2">
      <c r="A129" s="17" t="s">
        <v>40</v>
      </c>
    </row>
    <row r="130" spans="1:1" x14ac:dyDescent="0.2">
      <c r="A130" s="17" t="s">
        <v>35</v>
      </c>
    </row>
    <row r="131" spans="1:1" x14ac:dyDescent="0.2">
      <c r="A131" s="17" t="s">
        <v>127</v>
      </c>
    </row>
    <row r="132" spans="1:1" x14ac:dyDescent="0.2">
      <c r="A132" s="17" t="s">
        <v>128</v>
      </c>
    </row>
    <row r="133" spans="1:1" x14ac:dyDescent="0.2">
      <c r="A133" s="17" t="s">
        <v>129</v>
      </c>
    </row>
    <row r="134" spans="1:1" x14ac:dyDescent="0.2">
      <c r="A134" s="17" t="s">
        <v>130</v>
      </c>
    </row>
    <row r="135" spans="1:1" x14ac:dyDescent="0.2">
      <c r="A135" s="17" t="s">
        <v>131</v>
      </c>
    </row>
    <row r="136" spans="1:1" x14ac:dyDescent="0.2">
      <c r="A136" s="17" t="s">
        <v>132</v>
      </c>
    </row>
    <row r="137" spans="1:1" x14ac:dyDescent="0.2">
      <c r="A137" s="17" t="s">
        <v>133</v>
      </c>
    </row>
    <row r="138" spans="1:1" x14ac:dyDescent="0.2">
      <c r="A138" s="17" t="s">
        <v>134</v>
      </c>
    </row>
    <row r="139" spans="1:1" x14ac:dyDescent="0.2">
      <c r="A139" s="17" t="s">
        <v>72</v>
      </c>
    </row>
    <row r="140" spans="1:1" x14ac:dyDescent="0.2">
      <c r="A140" s="17" t="s">
        <v>135</v>
      </c>
    </row>
    <row r="141" spans="1:1" x14ac:dyDescent="0.2">
      <c r="A141" s="17" t="s">
        <v>136</v>
      </c>
    </row>
    <row r="142" spans="1:1" x14ac:dyDescent="0.2">
      <c r="A142" s="17" t="s">
        <v>137</v>
      </c>
    </row>
    <row r="143" spans="1:1" customFormat="1" x14ac:dyDescent="0.2">
      <c r="A143" s="17" t="s">
        <v>72</v>
      </c>
    </row>
    <row r="144" spans="1:1" customFormat="1" x14ac:dyDescent="0.2">
      <c r="A144" s="17" t="s">
        <v>225</v>
      </c>
    </row>
    <row r="145" spans="1:1" x14ac:dyDescent="0.2">
      <c r="A145" s="28" t="s">
        <v>226</v>
      </c>
    </row>
    <row r="146" spans="1:1" x14ac:dyDescent="0.2">
      <c r="A146" s="28" t="s">
        <v>227</v>
      </c>
    </row>
    <row r="147" spans="1:1" x14ac:dyDescent="0.2">
      <c r="A147" s="28" t="s">
        <v>610</v>
      </c>
    </row>
    <row r="148" spans="1:1" x14ac:dyDescent="0.2">
      <c r="A148" s="17" t="s">
        <v>138</v>
      </c>
    </row>
    <row r="149" spans="1:1" x14ac:dyDescent="0.2">
      <c r="A149" s="17" t="s">
        <v>139</v>
      </c>
    </row>
    <row r="150" spans="1:1" x14ac:dyDescent="0.2">
      <c r="A150" s="17" t="s">
        <v>140</v>
      </c>
    </row>
    <row r="151" spans="1:1" x14ac:dyDescent="0.2">
      <c r="A151" s="17" t="s">
        <v>141</v>
      </c>
    </row>
    <row r="152" spans="1:1" x14ac:dyDescent="0.2">
      <c r="A152" s="17" t="s">
        <v>142</v>
      </c>
    </row>
    <row r="153" spans="1:1" x14ac:dyDescent="0.2">
      <c r="A153" s="17" t="s">
        <v>143</v>
      </c>
    </row>
    <row r="154" spans="1:1" x14ac:dyDescent="0.2">
      <c r="A154" s="17" t="s">
        <v>88</v>
      </c>
    </row>
    <row r="155" spans="1:1" x14ac:dyDescent="0.2">
      <c r="A155" s="17" t="s">
        <v>144</v>
      </c>
    </row>
    <row r="156" spans="1:1" x14ac:dyDescent="0.2">
      <c r="A156" s="17" t="s">
        <v>243</v>
      </c>
    </row>
    <row r="157" spans="1:1" x14ac:dyDescent="0.2">
      <c r="A157" s="17" t="s">
        <v>242</v>
      </c>
    </row>
    <row r="158" spans="1:1" x14ac:dyDescent="0.2">
      <c r="A158" s="17" t="s">
        <v>88</v>
      </c>
    </row>
    <row r="159" spans="1:1" x14ac:dyDescent="0.2">
      <c r="A159" s="17" t="s">
        <v>70</v>
      </c>
    </row>
    <row r="160" spans="1:1" x14ac:dyDescent="0.2">
      <c r="A160" s="17" t="s">
        <v>70</v>
      </c>
    </row>
    <row r="161" spans="1:4" x14ac:dyDescent="0.2">
      <c r="A161" s="17" t="s">
        <v>72</v>
      </c>
    </row>
    <row r="162" spans="1:4" x14ac:dyDescent="0.2">
      <c r="A162" s="17" t="s">
        <v>39</v>
      </c>
    </row>
    <row r="163" spans="1:4" x14ac:dyDescent="0.2">
      <c r="A163" s="17" t="s">
        <v>40</v>
      </c>
    </row>
    <row r="164" spans="1:4" x14ac:dyDescent="0.2">
      <c r="A164" s="17" t="s">
        <v>35</v>
      </c>
    </row>
    <row r="165" spans="1:4" x14ac:dyDescent="0.2">
      <c r="A165" s="17" t="s">
        <v>47</v>
      </c>
    </row>
    <row r="166" spans="1:4" x14ac:dyDescent="0.2">
      <c r="A166" s="17" t="s">
        <v>105</v>
      </c>
    </row>
    <row r="167" spans="1:4" x14ac:dyDescent="0.2">
      <c r="A167" s="17" t="s">
        <v>145</v>
      </c>
      <c r="B167" s="26"/>
      <c r="C167" s="26"/>
      <c r="D167" s="26"/>
    </row>
    <row r="168" spans="1:4" x14ac:dyDescent="0.2">
      <c r="A168" s="17" t="s">
        <v>146</v>
      </c>
    </row>
    <row r="169" spans="1:4" x14ac:dyDescent="0.2">
      <c r="A169" s="27" t="str">
        <f>"        interface "&amp;aeInterface&amp;"."&amp;VLAN&amp;";"</f>
        <v xml:space="preserve">        interface ae1.0;</v>
      </c>
    </row>
    <row r="170" spans="1:4" x14ac:dyDescent="0.2">
      <c r="A170" s="17" t="s">
        <v>35</v>
      </c>
    </row>
    <row r="171" spans="1:4" x14ac:dyDescent="0.2">
      <c r="A171" s="17" t="s">
        <v>47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169"/>
  <sheetViews>
    <sheetView workbookViewId="0"/>
  </sheetViews>
  <sheetFormatPr defaultColWidth="9.140625" defaultRowHeight="12.75" x14ac:dyDescent="0.2"/>
  <cols>
    <col min="1" max="1" width="126.28515625" style="17" customWidth="1"/>
    <col min="2" max="3" width="9.140625" style="25"/>
    <col min="4" max="4" width="11.7109375" style="25" customWidth="1"/>
    <col min="5" max="16384" width="9.140625" style="17"/>
  </cols>
  <sheetData>
    <row r="1" spans="1:4" ht="18.75" x14ac:dyDescent="0.3">
      <c r="A1" s="35" t="s">
        <v>395</v>
      </c>
    </row>
    <row r="2" spans="1:4" ht="15.75" x14ac:dyDescent="0.25">
      <c r="A2" s="36" t="s">
        <v>396</v>
      </c>
    </row>
    <row r="3" spans="1:4" x14ac:dyDescent="0.2">
      <c r="A3" s="17" t="s">
        <v>65</v>
      </c>
    </row>
    <row r="4" spans="1:4" x14ac:dyDescent="0.2">
      <c r="A4" s="17" t="s">
        <v>66</v>
      </c>
    </row>
    <row r="5" spans="1:4" x14ac:dyDescent="0.2">
      <c r="A5" s="17" t="s">
        <v>67</v>
      </c>
    </row>
    <row r="6" spans="1:4" x14ac:dyDescent="0.2">
      <c r="A6" s="17" t="s">
        <v>68</v>
      </c>
    </row>
    <row r="7" spans="1:4" x14ac:dyDescent="0.2">
      <c r="A7" s="17" t="s">
        <v>73</v>
      </c>
    </row>
    <row r="8" spans="1:4" x14ac:dyDescent="0.2">
      <c r="A8" s="17" t="s">
        <v>69</v>
      </c>
    </row>
    <row r="9" spans="1:4" x14ac:dyDescent="0.2">
      <c r="A9" s="17" t="s">
        <v>449</v>
      </c>
    </row>
    <row r="10" spans="1:4" x14ac:dyDescent="0.2">
      <c r="A10" s="17" t="s">
        <v>70</v>
      </c>
    </row>
    <row r="11" spans="1:4" x14ac:dyDescent="0.2">
      <c r="A11" s="17" t="s">
        <v>71</v>
      </c>
    </row>
    <row r="12" spans="1:4" x14ac:dyDescent="0.2">
      <c r="A12" s="17" t="s">
        <v>74</v>
      </c>
    </row>
    <row r="13" spans="1:4" x14ac:dyDescent="0.2">
      <c r="A13" s="17" t="s">
        <v>70</v>
      </c>
    </row>
    <row r="14" spans="1:4" x14ac:dyDescent="0.2">
      <c r="A14" s="17" t="s">
        <v>72</v>
      </c>
    </row>
    <row r="15" spans="1:4" x14ac:dyDescent="0.2">
      <c r="A15" s="17" t="s">
        <v>450</v>
      </c>
      <c r="B15" s="17"/>
      <c r="C15" s="17"/>
      <c r="D15" s="17"/>
    </row>
    <row r="16" spans="1:4" x14ac:dyDescent="0.2">
      <c r="A16" s="17" t="s">
        <v>69</v>
      </c>
      <c r="B16" s="17"/>
      <c r="C16" s="17"/>
      <c r="D16" s="17"/>
    </row>
    <row r="17" spans="1:4" x14ac:dyDescent="0.2">
      <c r="A17" s="17" t="s">
        <v>451</v>
      </c>
      <c r="B17" s="17"/>
      <c r="C17" s="17"/>
      <c r="D17" s="17"/>
    </row>
    <row r="18" spans="1:4" x14ac:dyDescent="0.2">
      <c r="A18" s="17" t="s">
        <v>70</v>
      </c>
      <c r="B18" s="17"/>
      <c r="C18" s="17"/>
      <c r="D18" s="17"/>
    </row>
    <row r="19" spans="1:4" x14ac:dyDescent="0.2">
      <c r="A19" s="17" t="s">
        <v>71</v>
      </c>
      <c r="B19" s="17"/>
      <c r="C19" s="17"/>
      <c r="D19" s="17"/>
    </row>
    <row r="20" spans="1:4" x14ac:dyDescent="0.2">
      <c r="A20" s="17" t="s">
        <v>452</v>
      </c>
      <c r="B20" s="17"/>
      <c r="C20" s="17"/>
      <c r="D20" s="17"/>
    </row>
    <row r="21" spans="1:4" x14ac:dyDescent="0.2">
      <c r="A21" s="17" t="s">
        <v>453</v>
      </c>
      <c r="B21" s="17"/>
      <c r="C21" s="17"/>
      <c r="D21" s="17"/>
    </row>
    <row r="22" spans="1:4" x14ac:dyDescent="0.2">
      <c r="A22" s="17" t="s">
        <v>72</v>
      </c>
      <c r="B22" s="17"/>
      <c r="C22" s="17"/>
      <c r="D22" s="17"/>
    </row>
    <row r="23" spans="1:4" x14ac:dyDescent="0.2">
      <c r="A23" s="17" t="s">
        <v>39</v>
      </c>
    </row>
    <row r="24" spans="1:4" x14ac:dyDescent="0.2">
      <c r="A24" s="17" t="s">
        <v>40</v>
      </c>
    </row>
    <row r="25" spans="1:4" x14ac:dyDescent="0.2">
      <c r="A25" s="17" t="s">
        <v>75</v>
      </c>
    </row>
    <row r="26" spans="1:4" x14ac:dyDescent="0.2">
      <c r="A26" s="17" t="s">
        <v>76</v>
      </c>
    </row>
    <row r="27" spans="1:4" x14ac:dyDescent="0.2">
      <c r="A27" s="17" t="s">
        <v>77</v>
      </c>
    </row>
    <row r="28" spans="1:4" x14ac:dyDescent="0.2">
      <c r="A28" s="17" t="s">
        <v>78</v>
      </c>
    </row>
    <row r="29" spans="1:4" x14ac:dyDescent="0.2">
      <c r="A29" s="17" t="s">
        <v>79</v>
      </c>
    </row>
    <row r="30" spans="1:4" x14ac:dyDescent="0.2">
      <c r="A30" s="17" t="s">
        <v>70</v>
      </c>
    </row>
    <row r="31" spans="1:4" x14ac:dyDescent="0.2">
      <c r="A31" s="17" t="s">
        <v>72</v>
      </c>
    </row>
    <row r="32" spans="1:4" x14ac:dyDescent="0.2">
      <c r="A32" s="17" t="s">
        <v>39</v>
      </c>
    </row>
    <row r="33" spans="1:1" x14ac:dyDescent="0.2">
      <c r="A33" s="17" t="s">
        <v>76</v>
      </c>
    </row>
    <row r="34" spans="1:1" x14ac:dyDescent="0.2">
      <c r="A34" s="17" t="s">
        <v>77</v>
      </c>
    </row>
    <row r="35" spans="1:1" x14ac:dyDescent="0.2">
      <c r="A35" s="17" t="s">
        <v>454</v>
      </c>
    </row>
    <row r="36" spans="1:1" x14ac:dyDescent="0.2">
      <c r="A36" s="17" t="s">
        <v>79</v>
      </c>
    </row>
    <row r="37" spans="1:1" x14ac:dyDescent="0.2">
      <c r="A37" s="17" t="s">
        <v>70</v>
      </c>
    </row>
    <row r="38" spans="1:1" x14ac:dyDescent="0.2">
      <c r="A38" s="17" t="s">
        <v>72</v>
      </c>
    </row>
    <row r="39" spans="1:1" x14ac:dyDescent="0.2">
      <c r="A39" s="17" t="s">
        <v>39</v>
      </c>
    </row>
    <row r="40" spans="1:1" x14ac:dyDescent="0.2">
      <c r="A40" s="17" t="s">
        <v>80</v>
      </c>
    </row>
    <row r="41" spans="1:1" x14ac:dyDescent="0.2">
      <c r="A41" s="17" t="s">
        <v>81</v>
      </c>
    </row>
    <row r="42" spans="1:1" x14ac:dyDescent="0.2">
      <c r="A42" s="17" t="s">
        <v>82</v>
      </c>
    </row>
    <row r="43" spans="1:1" x14ac:dyDescent="0.2">
      <c r="A43" s="17" t="s">
        <v>83</v>
      </c>
    </row>
    <row r="44" spans="1:1" x14ac:dyDescent="0.2">
      <c r="A44" s="17" t="s">
        <v>84</v>
      </c>
    </row>
    <row r="45" spans="1:1" x14ac:dyDescent="0.2">
      <c r="A45" s="17" t="s">
        <v>85</v>
      </c>
    </row>
    <row r="46" spans="1:1" x14ac:dyDescent="0.2">
      <c r="A46" s="17" t="s">
        <v>86</v>
      </c>
    </row>
    <row r="47" spans="1:1" x14ac:dyDescent="0.2">
      <c r="A47" s="17" t="s">
        <v>87</v>
      </c>
    </row>
    <row r="48" spans="1:1" x14ac:dyDescent="0.2">
      <c r="A48" s="17" t="s">
        <v>88</v>
      </c>
    </row>
    <row r="49" spans="1:4" x14ac:dyDescent="0.2">
      <c r="A49" s="17" t="s">
        <v>70</v>
      </c>
    </row>
    <row r="50" spans="1:4" x14ac:dyDescent="0.2">
      <c r="A50" s="17" t="s">
        <v>72</v>
      </c>
    </row>
    <row r="51" spans="1:4" x14ac:dyDescent="0.2">
      <c r="A51" s="17" t="s">
        <v>39</v>
      </c>
    </row>
    <row r="52" spans="1:4" x14ac:dyDescent="0.2">
      <c r="A52" s="17" t="s">
        <v>40</v>
      </c>
    </row>
    <row r="53" spans="1:4" x14ac:dyDescent="0.2">
      <c r="A53" s="17" t="s">
        <v>89</v>
      </c>
      <c r="B53" s="26"/>
      <c r="C53" s="26"/>
      <c r="D53" s="26"/>
    </row>
    <row r="54" spans="1:4" x14ac:dyDescent="0.2">
      <c r="A54" s="17" t="s">
        <v>90</v>
      </c>
    </row>
    <row r="55" spans="1:4" x14ac:dyDescent="0.2">
      <c r="A55" s="17" t="s">
        <v>91</v>
      </c>
    </row>
    <row r="56" spans="1:4" x14ac:dyDescent="0.2">
      <c r="A56" s="17" t="s">
        <v>40</v>
      </c>
      <c r="B56" s="26"/>
      <c r="C56" s="26"/>
      <c r="D56" s="26"/>
    </row>
    <row r="57" spans="1:4" x14ac:dyDescent="0.2">
      <c r="A57" s="17" t="s">
        <v>92</v>
      </c>
    </row>
    <row r="58" spans="1:4" x14ac:dyDescent="0.2">
      <c r="A58" s="17" t="s">
        <v>93</v>
      </c>
    </row>
    <row r="59" spans="1:4" x14ac:dyDescent="0.2">
      <c r="A59" s="17" t="s">
        <v>40</v>
      </c>
    </row>
    <row r="60" spans="1:4" x14ac:dyDescent="0.2">
      <c r="A60" s="17" t="s">
        <v>35</v>
      </c>
      <c r="B60" s="26"/>
      <c r="C60" s="26"/>
      <c r="D60" s="26"/>
    </row>
    <row r="61" spans="1:4" x14ac:dyDescent="0.2">
      <c r="A61" s="17" t="s">
        <v>94</v>
      </c>
    </row>
    <row r="62" spans="1:4" x14ac:dyDescent="0.2">
      <c r="A62" s="17" t="s">
        <v>95</v>
      </c>
      <c r="B62" s="26"/>
      <c r="C62" s="26"/>
      <c r="D62" s="26"/>
    </row>
    <row r="63" spans="1:4" x14ac:dyDescent="0.2">
      <c r="A63" s="17" t="s">
        <v>35</v>
      </c>
    </row>
    <row r="64" spans="1:4" x14ac:dyDescent="0.2">
      <c r="A64" s="17" t="s">
        <v>96</v>
      </c>
    </row>
    <row r="65" spans="1:4" x14ac:dyDescent="0.2">
      <c r="A65" s="17" t="s">
        <v>97</v>
      </c>
      <c r="B65" s="26"/>
      <c r="C65" s="26"/>
      <c r="D65" s="26"/>
    </row>
    <row r="66" spans="1:4" x14ac:dyDescent="0.2">
      <c r="A66" s="17" t="s">
        <v>98</v>
      </c>
    </row>
    <row r="67" spans="1:4" x14ac:dyDescent="0.2">
      <c r="A67" s="17" t="s">
        <v>35</v>
      </c>
    </row>
    <row r="68" spans="1:4" x14ac:dyDescent="0.2">
      <c r="A68" s="17" t="s">
        <v>99</v>
      </c>
    </row>
    <row r="69" spans="1:4" x14ac:dyDescent="0.2">
      <c r="A69" s="17" t="s">
        <v>100</v>
      </c>
    </row>
    <row r="70" spans="1:4" x14ac:dyDescent="0.2">
      <c r="A70" s="17" t="s">
        <v>101</v>
      </c>
    </row>
    <row r="71" spans="1:4" x14ac:dyDescent="0.2">
      <c r="A71" s="17" t="s">
        <v>102</v>
      </c>
    </row>
    <row r="72" spans="1:4" x14ac:dyDescent="0.2">
      <c r="A72" s="17" t="s">
        <v>40</v>
      </c>
    </row>
    <row r="73" spans="1:4" x14ac:dyDescent="0.2">
      <c r="A73" s="17" t="s">
        <v>35</v>
      </c>
    </row>
    <row r="74" spans="1:4" x14ac:dyDescent="0.2">
      <c r="A74" s="17" t="s">
        <v>47</v>
      </c>
      <c r="B74" s="26"/>
      <c r="C74" s="26"/>
      <c r="D74" s="26"/>
    </row>
    <row r="76" spans="1:4" x14ac:dyDescent="0.2">
      <c r="A76" s="27"/>
    </row>
    <row r="81" spans="1:4" x14ac:dyDescent="0.2">
      <c r="B81" s="26"/>
      <c r="C81" s="26"/>
      <c r="D81" s="26"/>
    </row>
    <row r="83" spans="1:4" x14ac:dyDescent="0.2">
      <c r="A83" s="27"/>
    </row>
    <row r="145" spans="1:1" customFormat="1" x14ac:dyDescent="0.2">
      <c r="A145" s="17"/>
    </row>
    <row r="146" spans="1:1" customFormat="1" x14ac:dyDescent="0.2">
      <c r="A146" s="17"/>
    </row>
    <row r="147" spans="1:1" x14ac:dyDescent="0.2">
      <c r="A147" s="28"/>
    </row>
    <row r="148" spans="1:1" x14ac:dyDescent="0.2">
      <c r="A148" s="28"/>
    </row>
    <row r="167" spans="1:4" x14ac:dyDescent="0.2">
      <c r="B167" s="26"/>
      <c r="C167" s="26"/>
      <c r="D167" s="26"/>
    </row>
    <row r="169" spans="1:4" x14ac:dyDescent="0.2">
      <c r="A169" s="27"/>
    </row>
  </sheetData>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10"/>
  <sheetViews>
    <sheetView workbookViewId="0">
      <selection activeCell="A7" sqref="A7"/>
    </sheetView>
  </sheetViews>
  <sheetFormatPr defaultRowHeight="12.75" x14ac:dyDescent="0.2"/>
  <cols>
    <col min="1" max="2" width="41.85546875" customWidth="1"/>
    <col min="3" max="3" width="88.28515625" customWidth="1"/>
  </cols>
  <sheetData>
    <row r="1" spans="1:3" ht="18.75" x14ac:dyDescent="0.3">
      <c r="A1" s="10" t="s">
        <v>230</v>
      </c>
      <c r="B1" s="10"/>
    </row>
    <row r="2" spans="1:3" x14ac:dyDescent="0.2">
      <c r="A2" s="13" t="s">
        <v>231</v>
      </c>
      <c r="B2" s="13"/>
    </row>
    <row r="3" spans="1:3" x14ac:dyDescent="0.2">
      <c r="A3" s="13"/>
      <c r="B3" s="13"/>
    </row>
    <row r="4" spans="1:3" x14ac:dyDescent="0.2">
      <c r="A4" s="11" t="s">
        <v>232</v>
      </c>
      <c r="B4" s="11" t="s">
        <v>233</v>
      </c>
      <c r="C4" s="29" t="s">
        <v>234</v>
      </c>
    </row>
    <row r="5" spans="1:3" ht="38.25" x14ac:dyDescent="0.2">
      <c r="A5" s="31" t="str">
        <f>"show interface terse " &amp;physicalInterface</f>
        <v>show interface terse xe-0/1/5</v>
      </c>
      <c r="B5" s="33" t="s">
        <v>236</v>
      </c>
      <c r="C5" s="30" t="str">
        <f>"Interface               Admin Link Proto    Local                 Remote
"&amp;physicalInterface&amp;"                up    up
"&amp;physicalInterface&amp;".0              up    up   aenet    --&gt; "&amp;aeInterface&amp;".0"</f>
        <v>Interface               Admin Link Proto    Local                 Remote
xe-0/1/5                up    up
xe-0/1/5.0              up    up   aenet    --&gt; ae1.0</v>
      </c>
    </row>
    <row r="6" spans="1:3" ht="76.5" x14ac:dyDescent="0.2">
      <c r="A6" s="31" t="str">
        <f>"show interface terse " &amp;aeInterface</f>
        <v>show interface terse ae1</v>
      </c>
      <c r="B6" s="33" t="s">
        <v>237</v>
      </c>
      <c r="C6" s="30" t="str">
        <f>"Interface               Admin Link Proto    Local                 Remote
"&amp;aeInterface&amp;"                     up    up
"&amp;aeInterface&amp;".0                   up    up   inet     "&amp;AEip&amp;"
                                   iso     
                                   mpls    
                                   multiservice"</f>
        <v>Interface               Admin Link Proto    Local                 Remote
ae1                     up    up
ae1.0                   up    up   inet     139.65.229.203/31
                                   iso     
                                   mpls    
                                   multiservice</v>
      </c>
    </row>
    <row r="7" spans="1:3" ht="140.25" x14ac:dyDescent="0.2">
      <c r="A7" s="31" t="s">
        <v>612</v>
      </c>
      <c r="B7" s="33" t="s">
        <v>238</v>
      </c>
      <c r="C7" s="30" t="s">
        <v>613</v>
      </c>
    </row>
    <row r="8" spans="1:3" ht="38.25" x14ac:dyDescent="0.2">
      <c r="A8" s="32" t="s">
        <v>235</v>
      </c>
      <c r="B8" s="33" t="s">
        <v>239</v>
      </c>
      <c r="C8" s="34" t="str">
        <f>"Interface             System         L State        Hold (secs) SNPA
"&amp;aeInterface&amp;".0                 &lt;&lt;remote router name&gt;&gt; 2 Up           24  &lt;&lt;address&gt;&gt;"</f>
        <v>Interface             System         L State        Hold (secs) SNPA
ae1.0                 &lt;&lt;remote router name&gt;&gt; 2 Up           24  &lt;&lt;address&gt;&gt;</v>
      </c>
    </row>
    <row r="9" spans="1:3" x14ac:dyDescent="0.2">
      <c r="A9" s="11"/>
      <c r="B9" s="11"/>
    </row>
    <row r="10" spans="1:3" x14ac:dyDescent="0.2">
      <c r="A10" s="11"/>
      <c r="B10" s="11"/>
    </row>
  </sheetData>
  <pageMargins left="0.7" right="0.7" top="0.75" bottom="0.75" header="0.3" footer="0.3"/>
  <pageSetup paperSize="9"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20"/>
  <sheetViews>
    <sheetView workbookViewId="0">
      <selection activeCell="D11" sqref="D11"/>
    </sheetView>
  </sheetViews>
  <sheetFormatPr defaultRowHeight="12.75" x14ac:dyDescent="0.2"/>
  <cols>
    <col min="1" max="1" width="7.42578125" style="3" customWidth="1"/>
    <col min="2" max="2" width="15.85546875" style="3" bestFit="1" customWidth="1"/>
    <col min="3" max="3" width="27.7109375" style="3" customWidth="1"/>
    <col min="4" max="4" width="66.5703125" style="3" bestFit="1" customWidth="1"/>
  </cols>
  <sheetData>
    <row r="1" spans="1:4" ht="18.75" x14ac:dyDescent="0.3">
      <c r="A1" s="2" t="s">
        <v>2</v>
      </c>
      <c r="B1" s="2"/>
    </row>
    <row r="2" spans="1:4" x14ac:dyDescent="0.2">
      <c r="A2" s="4" t="s">
        <v>6</v>
      </c>
      <c r="B2" s="4"/>
    </row>
    <row r="3" spans="1:4" x14ac:dyDescent="0.2">
      <c r="A3" s="4" t="s">
        <v>7</v>
      </c>
      <c r="B3" s="4"/>
    </row>
    <row r="4" spans="1:4" x14ac:dyDescent="0.2">
      <c r="A4" s="4" t="s">
        <v>3</v>
      </c>
      <c r="B4" s="4" t="s">
        <v>8</v>
      </c>
      <c r="C4" s="3" t="s">
        <v>4</v>
      </c>
      <c r="D4" s="3" t="s">
        <v>5</v>
      </c>
    </row>
    <row r="5" spans="1:4" s="7" customFormat="1" x14ac:dyDescent="0.2">
      <c r="A5" s="6" t="s">
        <v>9</v>
      </c>
      <c r="B5" s="6" t="s">
        <v>147</v>
      </c>
      <c r="C5" s="6" t="s">
        <v>148</v>
      </c>
      <c r="D5" s="6" t="s">
        <v>25</v>
      </c>
    </row>
    <row r="6" spans="1:4" s="7" customFormat="1" x14ac:dyDescent="0.2">
      <c r="A6" s="8" t="s">
        <v>10</v>
      </c>
      <c r="B6" s="8" t="s">
        <v>222</v>
      </c>
      <c r="C6" s="8" t="s">
        <v>223</v>
      </c>
      <c r="D6" s="9" t="s">
        <v>224</v>
      </c>
    </row>
    <row r="7" spans="1:4" s="7" customFormat="1" x14ac:dyDescent="0.2">
      <c r="A7" s="8" t="s">
        <v>11</v>
      </c>
      <c r="B7" s="8" t="s">
        <v>228</v>
      </c>
      <c r="C7" s="8" t="s">
        <v>223</v>
      </c>
      <c r="D7" s="9" t="s">
        <v>229</v>
      </c>
    </row>
    <row r="8" spans="1:4" s="7" customFormat="1" x14ac:dyDescent="0.2">
      <c r="A8" s="8" t="s">
        <v>12</v>
      </c>
      <c r="B8" s="8" t="s">
        <v>240</v>
      </c>
      <c r="C8" s="8" t="s">
        <v>223</v>
      </c>
      <c r="D8" s="8" t="s">
        <v>241</v>
      </c>
    </row>
    <row r="9" spans="1:4" s="7" customFormat="1" x14ac:dyDescent="0.2">
      <c r="A9" s="8" t="s">
        <v>13</v>
      </c>
      <c r="B9" s="8" t="s">
        <v>399</v>
      </c>
      <c r="C9" s="8" t="s">
        <v>223</v>
      </c>
      <c r="D9" s="9" t="s">
        <v>400</v>
      </c>
    </row>
    <row r="10" spans="1:4" s="7" customFormat="1" x14ac:dyDescent="0.2">
      <c r="A10" s="8" t="s">
        <v>14</v>
      </c>
      <c r="B10" s="8" t="s">
        <v>608</v>
      </c>
      <c r="C10" s="8" t="s">
        <v>223</v>
      </c>
      <c r="D10" s="8" t="s">
        <v>609</v>
      </c>
    </row>
    <row r="11" spans="1:4" s="7" customFormat="1" x14ac:dyDescent="0.2">
      <c r="A11" s="8" t="s">
        <v>15</v>
      </c>
      <c r="B11" s="8"/>
      <c r="C11" s="8"/>
      <c r="D11" s="8"/>
    </row>
    <row r="12" spans="1:4" s="7" customFormat="1" x14ac:dyDescent="0.2">
      <c r="A12" s="8" t="s">
        <v>16</v>
      </c>
      <c r="B12" s="8"/>
      <c r="C12" s="8"/>
      <c r="D12" s="8"/>
    </row>
    <row r="13" spans="1:4" s="7" customFormat="1" x14ac:dyDescent="0.2">
      <c r="A13" s="8" t="s">
        <v>17</v>
      </c>
      <c r="B13" s="8"/>
      <c r="C13" s="8"/>
      <c r="D13" s="8"/>
    </row>
    <row r="14" spans="1:4" s="7" customFormat="1" x14ac:dyDescent="0.2">
      <c r="A14" s="8" t="s">
        <v>18</v>
      </c>
      <c r="B14" s="8"/>
      <c r="C14" s="8"/>
      <c r="D14" s="8"/>
    </row>
    <row r="15" spans="1:4" s="7" customFormat="1" x14ac:dyDescent="0.2">
      <c r="A15" s="8" t="s">
        <v>19</v>
      </c>
      <c r="B15" s="8"/>
      <c r="C15" s="8"/>
      <c r="D15" s="8"/>
    </row>
    <row r="16" spans="1:4" s="7" customFormat="1" x14ac:dyDescent="0.2">
      <c r="A16" s="8" t="s">
        <v>20</v>
      </c>
      <c r="B16" s="8"/>
      <c r="C16" s="8"/>
      <c r="D16" s="8"/>
    </row>
    <row r="17" spans="1:4" x14ac:dyDescent="0.2">
      <c r="A17" s="8" t="s">
        <v>21</v>
      </c>
      <c r="B17" s="5"/>
      <c r="C17" s="5"/>
      <c r="D17" s="5"/>
    </row>
    <row r="18" spans="1:4" x14ac:dyDescent="0.2">
      <c r="A18" s="8" t="s">
        <v>22</v>
      </c>
      <c r="B18" s="5"/>
      <c r="C18" s="5"/>
      <c r="D18" s="5"/>
    </row>
    <row r="19" spans="1:4" x14ac:dyDescent="0.2">
      <c r="A19" s="8" t="s">
        <v>23</v>
      </c>
      <c r="B19" s="5"/>
      <c r="C19" s="5"/>
      <c r="D19" s="5"/>
    </row>
    <row r="20" spans="1:4" x14ac:dyDescent="0.2">
      <c r="A20" s="8" t="s">
        <v>24</v>
      </c>
      <c r="B20" s="5"/>
      <c r="C20" s="5"/>
      <c r="D20" s="5"/>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J122"/>
  <sheetViews>
    <sheetView workbookViewId="0">
      <selection activeCell="F24" sqref="F24"/>
    </sheetView>
  </sheetViews>
  <sheetFormatPr defaultRowHeight="12.75" x14ac:dyDescent="0.2"/>
  <cols>
    <col min="1" max="1" width="13.85546875" bestFit="1" customWidth="1"/>
    <col min="2" max="2" width="9.7109375" bestFit="1" customWidth="1"/>
    <col min="3" max="3" width="13.28515625" bestFit="1" customWidth="1"/>
    <col min="4" max="4" width="11.85546875" bestFit="1" customWidth="1"/>
    <col min="5" max="5" width="26.7109375" bestFit="1" customWidth="1"/>
    <col min="6" max="6" width="19.7109375" bestFit="1" customWidth="1"/>
    <col min="7" max="7" width="24.140625" bestFit="1" customWidth="1"/>
    <col min="8" max="8" width="13.85546875" bestFit="1" customWidth="1"/>
    <col min="9" max="9" width="22.42578125" bestFit="1" customWidth="1"/>
    <col min="10" max="10" width="18.7109375" bestFit="1" customWidth="1"/>
    <col min="11" max="11" width="28.140625" bestFit="1" customWidth="1"/>
  </cols>
  <sheetData>
    <row r="1" spans="1:10" x14ac:dyDescent="0.2">
      <c r="A1" t="s">
        <v>150</v>
      </c>
      <c r="B1" t="s">
        <v>0</v>
      </c>
      <c r="C1" t="s">
        <v>151</v>
      </c>
      <c r="D1" t="s">
        <v>153</v>
      </c>
      <c r="E1" t="s">
        <v>154</v>
      </c>
      <c r="F1" t="s">
        <v>152</v>
      </c>
      <c r="G1" t="s">
        <v>149</v>
      </c>
      <c r="H1" t="s">
        <v>455</v>
      </c>
      <c r="I1" t="s">
        <v>456</v>
      </c>
      <c r="J1" t="s">
        <v>586</v>
      </c>
    </row>
    <row r="2" spans="1:10" x14ac:dyDescent="0.2">
      <c r="A2" s="18" t="s">
        <v>252</v>
      </c>
      <c r="B2" s="3" t="s">
        <v>203</v>
      </c>
      <c r="C2" s="18" t="s">
        <v>253</v>
      </c>
      <c r="D2" s="3" t="s">
        <v>160</v>
      </c>
      <c r="E2" s="18" t="s">
        <v>255</v>
      </c>
      <c r="F2" s="18" t="s">
        <v>254</v>
      </c>
      <c r="G2" s="3" t="s">
        <v>155</v>
      </c>
      <c r="H2" s="18"/>
      <c r="I2" s="18" t="s">
        <v>457</v>
      </c>
      <c r="J2" s="18"/>
    </row>
    <row r="3" spans="1:10" x14ac:dyDescent="0.2">
      <c r="A3" s="18" t="s">
        <v>256</v>
      </c>
      <c r="B3" s="3" t="s">
        <v>203</v>
      </c>
      <c r="C3" s="18" t="s">
        <v>253</v>
      </c>
      <c r="D3" s="3" t="s">
        <v>160</v>
      </c>
      <c r="E3" s="18" t="s">
        <v>257</v>
      </c>
      <c r="F3" s="18" t="s">
        <v>254</v>
      </c>
      <c r="G3" s="3" t="s">
        <v>155</v>
      </c>
      <c r="H3" s="18"/>
      <c r="I3" s="18" t="s">
        <v>457</v>
      </c>
      <c r="J3" s="18"/>
    </row>
    <row r="4" spans="1:10" x14ac:dyDescent="0.2">
      <c r="A4" s="18" t="s">
        <v>258</v>
      </c>
      <c r="B4" s="3" t="s">
        <v>203</v>
      </c>
      <c r="C4" s="18" t="s">
        <v>253</v>
      </c>
      <c r="D4" s="3" t="s">
        <v>160</v>
      </c>
      <c r="E4" s="18" t="s">
        <v>259</v>
      </c>
      <c r="F4" s="18" t="s">
        <v>254</v>
      </c>
      <c r="G4" s="3" t="s">
        <v>155</v>
      </c>
      <c r="H4" s="18"/>
      <c r="I4" s="18" t="s">
        <v>457</v>
      </c>
      <c r="J4" s="18"/>
    </row>
    <row r="5" spans="1:10" x14ac:dyDescent="0.2">
      <c r="A5" s="18" t="s">
        <v>260</v>
      </c>
      <c r="B5" s="3" t="s">
        <v>203</v>
      </c>
      <c r="C5" s="18" t="s">
        <v>253</v>
      </c>
      <c r="D5" s="3" t="s">
        <v>160</v>
      </c>
      <c r="E5" s="18" t="s">
        <v>261</v>
      </c>
      <c r="F5" s="18" t="s">
        <v>254</v>
      </c>
      <c r="G5" s="3" t="s">
        <v>155</v>
      </c>
      <c r="H5" s="18"/>
      <c r="I5" s="18" t="s">
        <v>457</v>
      </c>
      <c r="J5" s="18"/>
    </row>
    <row r="6" spans="1:10" x14ac:dyDescent="0.2">
      <c r="A6" s="18" t="s">
        <v>262</v>
      </c>
      <c r="B6" s="3" t="s">
        <v>203</v>
      </c>
      <c r="C6" s="18" t="s">
        <v>253</v>
      </c>
      <c r="D6" s="3" t="s">
        <v>180</v>
      </c>
      <c r="E6" s="18" t="s">
        <v>263</v>
      </c>
      <c r="F6" s="18" t="s">
        <v>254</v>
      </c>
      <c r="G6" s="3" t="s">
        <v>155</v>
      </c>
      <c r="H6" s="18" t="s">
        <v>458</v>
      </c>
      <c r="I6" s="18" t="s">
        <v>459</v>
      </c>
      <c r="J6" s="18"/>
    </row>
    <row r="7" spans="1:10" x14ac:dyDescent="0.2">
      <c r="A7" s="18" t="s">
        <v>264</v>
      </c>
      <c r="B7" s="3" t="s">
        <v>203</v>
      </c>
      <c r="C7" s="18" t="s">
        <v>253</v>
      </c>
      <c r="D7" s="3" t="s">
        <v>180</v>
      </c>
      <c r="E7" s="18" t="s">
        <v>265</v>
      </c>
      <c r="F7" s="18" t="s">
        <v>254</v>
      </c>
      <c r="G7" s="3" t="s">
        <v>155</v>
      </c>
      <c r="H7" s="18" t="s">
        <v>460</v>
      </c>
      <c r="I7" s="18" t="s">
        <v>459</v>
      </c>
      <c r="J7" s="18"/>
    </row>
    <row r="8" spans="1:10" x14ac:dyDescent="0.2">
      <c r="A8" s="18" t="s">
        <v>461</v>
      </c>
      <c r="B8" s="3" t="s">
        <v>203</v>
      </c>
      <c r="C8" s="18" t="s">
        <v>462</v>
      </c>
      <c r="D8" s="3" t="s">
        <v>463</v>
      </c>
      <c r="E8" s="18" t="s">
        <v>464</v>
      </c>
      <c r="F8" s="18" t="s">
        <v>254</v>
      </c>
      <c r="G8" s="3" t="s">
        <v>155</v>
      </c>
      <c r="H8" s="18" t="s">
        <v>465</v>
      </c>
      <c r="I8" s="18" t="s">
        <v>466</v>
      </c>
      <c r="J8" s="18"/>
    </row>
    <row r="9" spans="1:10" x14ac:dyDescent="0.2">
      <c r="A9" s="18" t="s">
        <v>467</v>
      </c>
      <c r="B9" s="3" t="s">
        <v>203</v>
      </c>
      <c r="C9" s="18" t="s">
        <v>462</v>
      </c>
      <c r="D9" s="3" t="s">
        <v>463</v>
      </c>
      <c r="E9" s="18" t="s">
        <v>468</v>
      </c>
      <c r="F9" s="18" t="s">
        <v>254</v>
      </c>
      <c r="G9" s="3" t="s">
        <v>155</v>
      </c>
      <c r="H9" s="18" t="s">
        <v>469</v>
      </c>
      <c r="I9" s="18" t="s">
        <v>466</v>
      </c>
      <c r="J9" s="18"/>
    </row>
    <row r="10" spans="1:10" x14ac:dyDescent="0.2">
      <c r="A10" s="18" t="s">
        <v>470</v>
      </c>
      <c r="B10" s="3" t="s">
        <v>203</v>
      </c>
      <c r="C10" s="18" t="s">
        <v>462</v>
      </c>
      <c r="D10" s="3" t="s">
        <v>463</v>
      </c>
      <c r="E10" s="18" t="s">
        <v>472</v>
      </c>
      <c r="F10" s="18" t="s">
        <v>254</v>
      </c>
      <c r="G10" s="3" t="s">
        <v>471</v>
      </c>
      <c r="H10" s="18" t="s">
        <v>473</v>
      </c>
      <c r="I10" s="18" t="s">
        <v>466</v>
      </c>
      <c r="J10" s="18"/>
    </row>
    <row r="11" spans="1:10" x14ac:dyDescent="0.2">
      <c r="A11" s="18" t="s">
        <v>266</v>
      </c>
      <c r="B11" s="3" t="s">
        <v>203</v>
      </c>
      <c r="C11" s="18" t="s">
        <v>267</v>
      </c>
      <c r="D11" s="3" t="s">
        <v>160</v>
      </c>
      <c r="E11" s="18" t="s">
        <v>269</v>
      </c>
      <c r="F11" s="18" t="s">
        <v>268</v>
      </c>
      <c r="G11" s="3" t="s">
        <v>155</v>
      </c>
      <c r="H11" s="18" t="s">
        <v>474</v>
      </c>
      <c r="I11" s="18" t="s">
        <v>457</v>
      </c>
      <c r="J11" s="18"/>
    </row>
    <row r="12" spans="1:10" x14ac:dyDescent="0.2">
      <c r="A12" s="18" t="s">
        <v>270</v>
      </c>
      <c r="B12" s="3" t="s">
        <v>203</v>
      </c>
      <c r="C12" s="18" t="s">
        <v>267</v>
      </c>
      <c r="D12" s="3" t="s">
        <v>160</v>
      </c>
      <c r="E12" s="18" t="s">
        <v>271</v>
      </c>
      <c r="F12" s="18" t="s">
        <v>268</v>
      </c>
      <c r="G12" s="3" t="s">
        <v>155</v>
      </c>
      <c r="H12" s="18" t="s">
        <v>475</v>
      </c>
      <c r="I12" s="18" t="s">
        <v>457</v>
      </c>
      <c r="J12" s="18"/>
    </row>
    <row r="13" spans="1:10" x14ac:dyDescent="0.2">
      <c r="A13" s="18" t="s">
        <v>272</v>
      </c>
      <c r="B13" s="3" t="s">
        <v>203</v>
      </c>
      <c r="C13" s="18" t="s">
        <v>273</v>
      </c>
      <c r="D13" s="3" t="s">
        <v>160</v>
      </c>
      <c r="E13" s="18" t="s">
        <v>274</v>
      </c>
      <c r="F13" s="18" t="s">
        <v>268</v>
      </c>
      <c r="G13" s="3" t="s">
        <v>155</v>
      </c>
      <c r="H13" s="18" t="s">
        <v>476</v>
      </c>
      <c r="I13" s="18" t="s">
        <v>457</v>
      </c>
      <c r="J13" s="18"/>
    </row>
    <row r="14" spans="1:10" x14ac:dyDescent="0.2">
      <c r="A14" s="18" t="s">
        <v>275</v>
      </c>
      <c r="B14" s="3" t="s">
        <v>203</v>
      </c>
      <c r="C14" s="18" t="s">
        <v>273</v>
      </c>
      <c r="D14" s="3" t="s">
        <v>160</v>
      </c>
      <c r="E14" s="18" t="s">
        <v>276</v>
      </c>
      <c r="F14" s="18" t="s">
        <v>268</v>
      </c>
      <c r="G14" s="3" t="s">
        <v>155</v>
      </c>
      <c r="H14" s="18" t="s">
        <v>477</v>
      </c>
      <c r="I14" s="18" t="s">
        <v>457</v>
      </c>
      <c r="J14" s="18"/>
    </row>
    <row r="15" spans="1:10" x14ac:dyDescent="0.2">
      <c r="A15" s="18" t="s">
        <v>401</v>
      </c>
      <c r="B15" s="3" t="s">
        <v>203</v>
      </c>
      <c r="C15" s="18" t="s">
        <v>402</v>
      </c>
      <c r="D15" s="3" t="s">
        <v>160</v>
      </c>
      <c r="E15" s="18" t="s">
        <v>404</v>
      </c>
      <c r="F15" s="18" t="s">
        <v>403</v>
      </c>
      <c r="G15" s="3" t="s">
        <v>155</v>
      </c>
      <c r="H15" s="18" t="s">
        <v>478</v>
      </c>
      <c r="I15" s="18" t="s">
        <v>457</v>
      </c>
      <c r="J15" s="18"/>
    </row>
    <row r="16" spans="1:10" x14ac:dyDescent="0.2">
      <c r="A16" s="18" t="s">
        <v>405</v>
      </c>
      <c r="B16" s="3" t="s">
        <v>203</v>
      </c>
      <c r="C16" s="18" t="s">
        <v>402</v>
      </c>
      <c r="D16" s="3" t="s">
        <v>160</v>
      </c>
      <c r="E16" s="18" t="s">
        <v>406</v>
      </c>
      <c r="F16" s="18" t="s">
        <v>403</v>
      </c>
      <c r="G16" s="3" t="s">
        <v>155</v>
      </c>
      <c r="H16" s="18" t="s">
        <v>479</v>
      </c>
      <c r="I16" s="18" t="s">
        <v>457</v>
      </c>
      <c r="J16" s="18"/>
    </row>
    <row r="17" spans="1:10" x14ac:dyDescent="0.2">
      <c r="A17" s="18" t="s">
        <v>407</v>
      </c>
      <c r="B17" s="3" t="s">
        <v>203</v>
      </c>
      <c r="C17" s="18" t="s">
        <v>408</v>
      </c>
      <c r="D17" s="3" t="s">
        <v>160</v>
      </c>
      <c r="E17" s="18" t="s">
        <v>409</v>
      </c>
      <c r="F17" s="18" t="s">
        <v>403</v>
      </c>
      <c r="G17" s="3" t="s">
        <v>155</v>
      </c>
      <c r="H17" s="18" t="s">
        <v>480</v>
      </c>
      <c r="I17" s="18" t="s">
        <v>457</v>
      </c>
      <c r="J17" s="18"/>
    </row>
    <row r="18" spans="1:10" x14ac:dyDescent="0.2">
      <c r="A18" s="18" t="s">
        <v>410</v>
      </c>
      <c r="B18" s="3" t="s">
        <v>203</v>
      </c>
      <c r="C18" s="18" t="s">
        <v>408</v>
      </c>
      <c r="D18" s="3" t="s">
        <v>160</v>
      </c>
      <c r="E18" s="18" t="s">
        <v>411</v>
      </c>
      <c r="F18" s="18" t="s">
        <v>403</v>
      </c>
      <c r="G18" s="3" t="s">
        <v>155</v>
      </c>
      <c r="H18" s="18" t="s">
        <v>481</v>
      </c>
      <c r="I18" s="18" t="s">
        <v>457</v>
      </c>
      <c r="J18" s="18"/>
    </row>
    <row r="19" spans="1:10" x14ac:dyDescent="0.2">
      <c r="A19" s="18" t="s">
        <v>209</v>
      </c>
      <c r="B19" s="3" t="s">
        <v>203</v>
      </c>
      <c r="C19" s="18" t="s">
        <v>210</v>
      </c>
      <c r="D19" s="3" t="s">
        <v>163</v>
      </c>
      <c r="E19" s="18" t="s">
        <v>212</v>
      </c>
      <c r="F19" s="18" t="s">
        <v>211</v>
      </c>
      <c r="G19" s="3" t="s">
        <v>155</v>
      </c>
      <c r="H19" s="18"/>
      <c r="I19" s="18" t="s">
        <v>482</v>
      </c>
      <c r="J19" s="18"/>
    </row>
    <row r="20" spans="1:10" x14ac:dyDescent="0.2">
      <c r="A20" s="18" t="s">
        <v>213</v>
      </c>
      <c r="B20" s="3" t="s">
        <v>203</v>
      </c>
      <c r="C20" s="18" t="s">
        <v>210</v>
      </c>
      <c r="D20" s="3" t="s">
        <v>163</v>
      </c>
      <c r="E20" s="18" t="s">
        <v>214</v>
      </c>
      <c r="F20" s="18" t="s">
        <v>211</v>
      </c>
      <c r="G20" s="3" t="s">
        <v>155</v>
      </c>
      <c r="H20" s="18"/>
      <c r="I20" s="18" t="s">
        <v>482</v>
      </c>
      <c r="J20" s="18"/>
    </row>
    <row r="21" spans="1:10" x14ac:dyDescent="0.2">
      <c r="A21" s="18" t="s">
        <v>278</v>
      </c>
      <c r="B21" s="3" t="s">
        <v>203</v>
      </c>
      <c r="C21" s="18" t="s">
        <v>210</v>
      </c>
      <c r="D21" s="3" t="s">
        <v>163</v>
      </c>
      <c r="E21" s="18" t="s">
        <v>279</v>
      </c>
      <c r="F21" s="18" t="s">
        <v>211</v>
      </c>
      <c r="G21" s="3" t="s">
        <v>277</v>
      </c>
      <c r="H21" s="18"/>
      <c r="I21" s="18" t="s">
        <v>482</v>
      </c>
      <c r="J21" s="18"/>
    </row>
    <row r="22" spans="1:10" x14ac:dyDescent="0.2">
      <c r="A22" s="18" t="s">
        <v>483</v>
      </c>
      <c r="B22" s="3" t="s">
        <v>203</v>
      </c>
      <c r="C22" s="18" t="s">
        <v>210</v>
      </c>
      <c r="D22" s="3" t="s">
        <v>163</v>
      </c>
      <c r="E22" s="18" t="s">
        <v>484</v>
      </c>
      <c r="F22" s="18" t="s">
        <v>211</v>
      </c>
      <c r="G22" s="3" t="s">
        <v>471</v>
      </c>
      <c r="H22" s="18"/>
      <c r="I22" s="18" t="s">
        <v>482</v>
      </c>
      <c r="J22" s="18"/>
    </row>
    <row r="23" spans="1:10" x14ac:dyDescent="0.2">
      <c r="A23" s="18" t="s">
        <v>280</v>
      </c>
      <c r="B23" s="3" t="s">
        <v>203</v>
      </c>
      <c r="C23" s="18" t="s">
        <v>281</v>
      </c>
      <c r="D23" s="3" t="s">
        <v>160</v>
      </c>
      <c r="E23" s="18" t="s">
        <v>283</v>
      </c>
      <c r="F23" s="18" t="s">
        <v>282</v>
      </c>
      <c r="G23" s="3" t="s">
        <v>155</v>
      </c>
      <c r="H23" s="18"/>
      <c r="I23" s="18" t="s">
        <v>457</v>
      </c>
      <c r="J23" s="18"/>
    </row>
    <row r="24" spans="1:10" x14ac:dyDescent="0.2">
      <c r="A24" s="18" t="s">
        <v>284</v>
      </c>
      <c r="B24" s="3" t="s">
        <v>203</v>
      </c>
      <c r="C24" s="18" t="s">
        <v>281</v>
      </c>
      <c r="D24" s="3" t="s">
        <v>160</v>
      </c>
      <c r="E24" s="18" t="s">
        <v>285</v>
      </c>
      <c r="F24" s="18" t="s">
        <v>282</v>
      </c>
      <c r="G24" s="3" t="s">
        <v>155</v>
      </c>
      <c r="H24" s="18"/>
      <c r="I24" s="18" t="s">
        <v>457</v>
      </c>
      <c r="J24" s="18"/>
    </row>
    <row r="25" spans="1:10" x14ac:dyDescent="0.2">
      <c r="A25" s="18" t="s">
        <v>286</v>
      </c>
      <c r="B25" s="3" t="s">
        <v>203</v>
      </c>
      <c r="C25" s="18" t="s">
        <v>281</v>
      </c>
      <c r="D25" s="3" t="s">
        <v>160</v>
      </c>
      <c r="E25" s="18" t="s">
        <v>287</v>
      </c>
      <c r="F25" s="18" t="s">
        <v>282</v>
      </c>
      <c r="G25" s="3" t="s">
        <v>155</v>
      </c>
      <c r="H25" s="18"/>
      <c r="I25" s="18" t="s">
        <v>457</v>
      </c>
      <c r="J25" s="18"/>
    </row>
    <row r="26" spans="1:10" x14ac:dyDescent="0.2">
      <c r="A26" s="18" t="s">
        <v>288</v>
      </c>
      <c r="B26" s="3" t="s">
        <v>203</v>
      </c>
      <c r="C26" s="18" t="s">
        <v>281</v>
      </c>
      <c r="D26" s="3" t="s">
        <v>160</v>
      </c>
      <c r="E26" s="18" t="s">
        <v>289</v>
      </c>
      <c r="F26" s="18" t="s">
        <v>282</v>
      </c>
      <c r="G26" s="3" t="s">
        <v>155</v>
      </c>
      <c r="H26" s="18"/>
      <c r="I26" s="18" t="s">
        <v>457</v>
      </c>
      <c r="J26" s="18"/>
    </row>
    <row r="27" spans="1:10" x14ac:dyDescent="0.2">
      <c r="A27" s="18" t="s">
        <v>202</v>
      </c>
      <c r="B27" s="3" t="s">
        <v>203</v>
      </c>
      <c r="C27" s="18" t="s">
        <v>204</v>
      </c>
      <c r="D27" s="3" t="s">
        <v>163</v>
      </c>
      <c r="E27" s="18" t="s">
        <v>206</v>
      </c>
      <c r="F27" s="18" t="s">
        <v>205</v>
      </c>
      <c r="G27" s="3" t="s">
        <v>155</v>
      </c>
      <c r="H27" s="18"/>
      <c r="I27" s="18" t="s">
        <v>482</v>
      </c>
      <c r="J27" s="18"/>
    </row>
    <row r="28" spans="1:10" x14ac:dyDescent="0.2">
      <c r="A28" s="18" t="s">
        <v>207</v>
      </c>
      <c r="B28" s="3" t="s">
        <v>203</v>
      </c>
      <c r="C28" s="18" t="s">
        <v>204</v>
      </c>
      <c r="D28" s="3" t="s">
        <v>163</v>
      </c>
      <c r="E28" s="18" t="s">
        <v>208</v>
      </c>
      <c r="F28" s="18" t="s">
        <v>205</v>
      </c>
      <c r="G28" s="3" t="s">
        <v>155</v>
      </c>
      <c r="H28" s="18"/>
      <c r="I28" s="18" t="s">
        <v>482</v>
      </c>
      <c r="J28" s="18"/>
    </row>
    <row r="29" spans="1:10" x14ac:dyDescent="0.2">
      <c r="A29" s="18" t="s">
        <v>290</v>
      </c>
      <c r="B29" s="3" t="s">
        <v>203</v>
      </c>
      <c r="C29" s="18" t="s">
        <v>204</v>
      </c>
      <c r="D29" s="3" t="s">
        <v>163</v>
      </c>
      <c r="E29" s="18" t="s">
        <v>291</v>
      </c>
      <c r="F29" s="18" t="s">
        <v>205</v>
      </c>
      <c r="G29" s="3" t="s">
        <v>277</v>
      </c>
      <c r="H29" s="18"/>
      <c r="I29" s="18" t="s">
        <v>482</v>
      </c>
      <c r="J29" s="18"/>
    </row>
    <row r="30" spans="1:10" x14ac:dyDescent="0.2">
      <c r="A30" s="18" t="s">
        <v>485</v>
      </c>
      <c r="B30" s="3" t="s">
        <v>203</v>
      </c>
      <c r="C30" s="18" t="s">
        <v>204</v>
      </c>
      <c r="D30" s="3" t="s">
        <v>163</v>
      </c>
      <c r="E30" s="18" t="s">
        <v>486</v>
      </c>
      <c r="F30" s="18" t="s">
        <v>205</v>
      </c>
      <c r="G30" s="3" t="s">
        <v>471</v>
      </c>
      <c r="H30" s="18"/>
      <c r="I30" s="18" t="s">
        <v>482</v>
      </c>
      <c r="J30" s="18"/>
    </row>
    <row r="31" spans="1:10" x14ac:dyDescent="0.2">
      <c r="A31" s="18" t="s">
        <v>292</v>
      </c>
      <c r="B31" s="3" t="s">
        <v>203</v>
      </c>
      <c r="C31" s="18" t="s">
        <v>204</v>
      </c>
      <c r="D31" s="3" t="s">
        <v>180</v>
      </c>
      <c r="E31" s="18" t="s">
        <v>293</v>
      </c>
      <c r="F31" s="18" t="s">
        <v>205</v>
      </c>
      <c r="G31" s="3" t="s">
        <v>155</v>
      </c>
      <c r="H31" s="18"/>
      <c r="I31" s="18" t="s">
        <v>459</v>
      </c>
      <c r="J31" s="18"/>
    </row>
    <row r="32" spans="1:10" x14ac:dyDescent="0.2">
      <c r="A32" s="18" t="s">
        <v>294</v>
      </c>
      <c r="B32" s="3" t="s">
        <v>203</v>
      </c>
      <c r="C32" s="18" t="s">
        <v>204</v>
      </c>
      <c r="D32" s="3" t="s">
        <v>180</v>
      </c>
      <c r="E32" s="18" t="s">
        <v>295</v>
      </c>
      <c r="F32" s="18" t="s">
        <v>205</v>
      </c>
      <c r="G32" s="3" t="s">
        <v>155</v>
      </c>
      <c r="H32" s="18"/>
      <c r="I32" s="18" t="s">
        <v>459</v>
      </c>
      <c r="J32" s="18"/>
    </row>
    <row r="33" spans="1:10" x14ac:dyDescent="0.2">
      <c r="A33" s="18" t="s">
        <v>296</v>
      </c>
      <c r="B33" s="3" t="s">
        <v>203</v>
      </c>
      <c r="C33" s="18" t="s">
        <v>297</v>
      </c>
      <c r="D33" s="3" t="s">
        <v>160</v>
      </c>
      <c r="E33" s="18" t="s">
        <v>299</v>
      </c>
      <c r="F33" s="18" t="s">
        <v>298</v>
      </c>
      <c r="G33" s="3" t="s">
        <v>155</v>
      </c>
      <c r="H33" s="18"/>
      <c r="I33" s="18" t="s">
        <v>457</v>
      </c>
      <c r="J33" s="18"/>
    </row>
    <row r="34" spans="1:10" x14ac:dyDescent="0.2">
      <c r="A34" s="18" t="s">
        <v>300</v>
      </c>
      <c r="B34" s="3" t="s">
        <v>203</v>
      </c>
      <c r="C34" s="18" t="s">
        <v>297</v>
      </c>
      <c r="D34" s="3" t="s">
        <v>160</v>
      </c>
      <c r="E34" s="18" t="s">
        <v>301</v>
      </c>
      <c r="F34" s="18" t="s">
        <v>298</v>
      </c>
      <c r="G34" s="3" t="s">
        <v>155</v>
      </c>
      <c r="H34" s="18"/>
      <c r="I34" s="18" t="s">
        <v>457</v>
      </c>
      <c r="J34" s="18"/>
    </row>
    <row r="35" spans="1:10" x14ac:dyDescent="0.2">
      <c r="A35" s="18" t="s">
        <v>302</v>
      </c>
      <c r="B35" s="3" t="s">
        <v>203</v>
      </c>
      <c r="C35" s="18" t="s">
        <v>303</v>
      </c>
      <c r="D35" s="3" t="s">
        <v>160</v>
      </c>
      <c r="E35" s="18" t="s">
        <v>304</v>
      </c>
      <c r="F35" s="18" t="s">
        <v>298</v>
      </c>
      <c r="G35" s="3" t="s">
        <v>155</v>
      </c>
      <c r="H35" s="18"/>
      <c r="I35" s="18" t="s">
        <v>457</v>
      </c>
      <c r="J35" s="18"/>
    </row>
    <row r="36" spans="1:10" x14ac:dyDescent="0.2">
      <c r="A36" s="18" t="s">
        <v>305</v>
      </c>
      <c r="B36" s="3" t="s">
        <v>203</v>
      </c>
      <c r="C36" s="18" t="s">
        <v>303</v>
      </c>
      <c r="D36" s="3" t="s">
        <v>160</v>
      </c>
      <c r="E36" s="18" t="s">
        <v>306</v>
      </c>
      <c r="F36" s="18" t="s">
        <v>298</v>
      </c>
      <c r="G36" s="3" t="s">
        <v>155</v>
      </c>
      <c r="H36" s="18"/>
      <c r="I36" s="18" t="s">
        <v>457</v>
      </c>
      <c r="J36" s="18"/>
    </row>
    <row r="37" spans="1:10" x14ac:dyDescent="0.2">
      <c r="A37" s="18" t="s">
        <v>487</v>
      </c>
      <c r="B37" s="3" t="s">
        <v>190</v>
      </c>
      <c r="C37" s="18" t="s">
        <v>488</v>
      </c>
      <c r="D37" s="3" t="s">
        <v>160</v>
      </c>
      <c r="E37" s="18" t="s">
        <v>490</v>
      </c>
      <c r="F37" s="18" t="s">
        <v>489</v>
      </c>
      <c r="G37" s="3" t="s">
        <v>155</v>
      </c>
      <c r="H37" s="18" t="s">
        <v>491</v>
      </c>
      <c r="I37" s="18" t="s">
        <v>492</v>
      </c>
      <c r="J37" s="18"/>
    </row>
    <row r="38" spans="1:10" x14ac:dyDescent="0.2">
      <c r="A38" s="18" t="s">
        <v>493</v>
      </c>
      <c r="B38" s="3" t="s">
        <v>190</v>
      </c>
      <c r="C38" s="18" t="s">
        <v>488</v>
      </c>
      <c r="D38" s="3" t="s">
        <v>160</v>
      </c>
      <c r="E38" s="18" t="s">
        <v>494</v>
      </c>
      <c r="F38" s="18" t="s">
        <v>489</v>
      </c>
      <c r="G38" s="3" t="s">
        <v>155</v>
      </c>
      <c r="H38" s="18" t="s">
        <v>495</v>
      </c>
      <c r="I38" s="18" t="s">
        <v>492</v>
      </c>
      <c r="J38" s="18"/>
    </row>
    <row r="39" spans="1:10" x14ac:dyDescent="0.2">
      <c r="A39" s="18" t="s">
        <v>496</v>
      </c>
      <c r="B39" s="3" t="s">
        <v>190</v>
      </c>
      <c r="C39" s="18" t="s">
        <v>488</v>
      </c>
      <c r="D39" s="3" t="s">
        <v>160</v>
      </c>
      <c r="E39" s="18" t="s">
        <v>497</v>
      </c>
      <c r="F39" s="18" t="s">
        <v>489</v>
      </c>
      <c r="G39" s="3" t="s">
        <v>155</v>
      </c>
      <c r="H39" s="18" t="s">
        <v>498</v>
      </c>
      <c r="I39" s="18" t="s">
        <v>492</v>
      </c>
      <c r="J39" s="18"/>
    </row>
    <row r="40" spans="1:10" x14ac:dyDescent="0.2">
      <c r="A40" s="18" t="s">
        <v>499</v>
      </c>
      <c r="B40" s="3" t="s">
        <v>190</v>
      </c>
      <c r="C40" s="18" t="s">
        <v>488</v>
      </c>
      <c r="D40" s="3" t="s">
        <v>160</v>
      </c>
      <c r="E40" s="18" t="s">
        <v>500</v>
      </c>
      <c r="F40" s="18" t="s">
        <v>489</v>
      </c>
      <c r="G40" s="3" t="s">
        <v>155</v>
      </c>
      <c r="H40" s="18" t="s">
        <v>501</v>
      </c>
      <c r="I40" s="18" t="s">
        <v>492</v>
      </c>
      <c r="J40" s="18"/>
    </row>
    <row r="41" spans="1:10" x14ac:dyDescent="0.2">
      <c r="A41" s="18" t="s">
        <v>412</v>
      </c>
      <c r="B41" s="3" t="s">
        <v>190</v>
      </c>
      <c r="C41" s="18" t="s">
        <v>413</v>
      </c>
      <c r="D41" s="3" t="s">
        <v>160</v>
      </c>
      <c r="E41" s="18" t="s">
        <v>415</v>
      </c>
      <c r="F41" s="18" t="s">
        <v>414</v>
      </c>
      <c r="G41" s="3" t="s">
        <v>155</v>
      </c>
      <c r="H41" s="18" t="s">
        <v>502</v>
      </c>
      <c r="I41" s="18" t="s">
        <v>492</v>
      </c>
      <c r="J41" s="18"/>
    </row>
    <row r="42" spans="1:10" x14ac:dyDescent="0.2">
      <c r="A42" s="18" t="s">
        <v>416</v>
      </c>
      <c r="B42" s="3" t="s">
        <v>190</v>
      </c>
      <c r="C42" s="18" t="s">
        <v>413</v>
      </c>
      <c r="D42" s="3" t="s">
        <v>160</v>
      </c>
      <c r="E42" s="18" t="s">
        <v>417</v>
      </c>
      <c r="F42" s="18" t="s">
        <v>414</v>
      </c>
      <c r="G42" s="3" t="s">
        <v>155</v>
      </c>
      <c r="H42" s="18" t="s">
        <v>503</v>
      </c>
      <c r="I42" s="18" t="s">
        <v>492</v>
      </c>
      <c r="J42" s="18"/>
    </row>
    <row r="43" spans="1:10" x14ac:dyDescent="0.2">
      <c r="A43" s="18" t="s">
        <v>307</v>
      </c>
      <c r="B43" s="3" t="s">
        <v>190</v>
      </c>
      <c r="C43" s="18" t="s">
        <v>308</v>
      </c>
      <c r="D43" s="3" t="s">
        <v>160</v>
      </c>
      <c r="E43" s="18" t="s">
        <v>309</v>
      </c>
      <c r="F43" s="18" t="s">
        <v>198</v>
      </c>
      <c r="G43" s="3" t="s">
        <v>155</v>
      </c>
      <c r="H43" s="18"/>
      <c r="I43" s="18" t="s">
        <v>492</v>
      </c>
      <c r="J43" s="18"/>
    </row>
    <row r="44" spans="1:10" x14ac:dyDescent="0.2">
      <c r="A44" s="18" t="s">
        <v>310</v>
      </c>
      <c r="B44" s="3" t="s">
        <v>190</v>
      </c>
      <c r="C44" s="18" t="s">
        <v>308</v>
      </c>
      <c r="D44" s="3" t="s">
        <v>160</v>
      </c>
      <c r="E44" s="18" t="s">
        <v>311</v>
      </c>
      <c r="F44" s="18" t="s">
        <v>198</v>
      </c>
      <c r="G44" s="3" t="s">
        <v>155</v>
      </c>
      <c r="H44" s="18"/>
      <c r="I44" s="18" t="s">
        <v>492</v>
      </c>
      <c r="J44" s="18"/>
    </row>
    <row r="45" spans="1:10" x14ac:dyDescent="0.2">
      <c r="A45" s="18" t="s">
        <v>196</v>
      </c>
      <c r="B45" s="3" t="s">
        <v>190</v>
      </c>
      <c r="C45" s="18" t="s">
        <v>197</v>
      </c>
      <c r="D45" s="3" t="s">
        <v>163</v>
      </c>
      <c r="E45" s="18" t="s">
        <v>199</v>
      </c>
      <c r="F45" s="18" t="s">
        <v>198</v>
      </c>
      <c r="G45" s="3" t="s">
        <v>155</v>
      </c>
      <c r="H45" s="18"/>
      <c r="I45" s="18" t="s">
        <v>504</v>
      </c>
      <c r="J45" s="18"/>
    </row>
    <row r="46" spans="1:10" x14ac:dyDescent="0.2">
      <c r="A46" s="18" t="s">
        <v>200</v>
      </c>
      <c r="B46" s="3" t="s">
        <v>190</v>
      </c>
      <c r="C46" s="18" t="s">
        <v>197</v>
      </c>
      <c r="D46" s="3" t="s">
        <v>163</v>
      </c>
      <c r="E46" s="18" t="s">
        <v>201</v>
      </c>
      <c r="F46" s="18" t="s">
        <v>198</v>
      </c>
      <c r="G46" s="3" t="s">
        <v>155</v>
      </c>
      <c r="H46" s="18"/>
      <c r="I46" s="18" t="s">
        <v>504</v>
      </c>
      <c r="J46" s="18"/>
    </row>
    <row r="47" spans="1:10" x14ac:dyDescent="0.2">
      <c r="A47" s="18" t="s">
        <v>312</v>
      </c>
      <c r="B47" s="3" t="s">
        <v>190</v>
      </c>
      <c r="C47" s="18" t="s">
        <v>197</v>
      </c>
      <c r="D47" s="3" t="s">
        <v>163</v>
      </c>
      <c r="E47" s="18" t="s">
        <v>313</v>
      </c>
      <c r="F47" s="18" t="s">
        <v>198</v>
      </c>
      <c r="G47" s="3" t="s">
        <v>277</v>
      </c>
      <c r="H47" s="18"/>
      <c r="I47" s="18" t="s">
        <v>504</v>
      </c>
      <c r="J47" s="18"/>
    </row>
    <row r="48" spans="1:10" x14ac:dyDescent="0.2">
      <c r="A48" s="18" t="s">
        <v>505</v>
      </c>
      <c r="B48" s="3" t="s">
        <v>190</v>
      </c>
      <c r="C48" s="18" t="s">
        <v>197</v>
      </c>
      <c r="D48" s="3" t="s">
        <v>163</v>
      </c>
      <c r="E48" s="18" t="s">
        <v>506</v>
      </c>
      <c r="F48" s="18" t="s">
        <v>198</v>
      </c>
      <c r="G48" s="3" t="s">
        <v>471</v>
      </c>
      <c r="H48" s="18"/>
      <c r="I48" s="18" t="s">
        <v>504</v>
      </c>
      <c r="J48" s="18"/>
    </row>
    <row r="49" spans="1:10" x14ac:dyDescent="0.2">
      <c r="A49" s="18" t="s">
        <v>507</v>
      </c>
      <c r="B49" s="3" t="s">
        <v>190</v>
      </c>
      <c r="C49" s="18" t="s">
        <v>444</v>
      </c>
      <c r="D49" s="3" t="s">
        <v>160</v>
      </c>
      <c r="E49" s="18" t="s">
        <v>508</v>
      </c>
      <c r="F49" s="18" t="s">
        <v>445</v>
      </c>
      <c r="G49" s="3" t="s">
        <v>155</v>
      </c>
      <c r="H49" s="18" t="s">
        <v>509</v>
      </c>
      <c r="I49" s="18" t="s">
        <v>492</v>
      </c>
      <c r="J49" s="18"/>
    </row>
    <row r="50" spans="1:10" x14ac:dyDescent="0.2">
      <c r="A50" s="18" t="s">
        <v>510</v>
      </c>
      <c r="B50" s="3" t="s">
        <v>190</v>
      </c>
      <c r="C50" s="18" t="s">
        <v>444</v>
      </c>
      <c r="D50" s="3" t="s">
        <v>160</v>
      </c>
      <c r="E50" s="18" t="s">
        <v>511</v>
      </c>
      <c r="F50" s="18" t="s">
        <v>445</v>
      </c>
      <c r="G50" s="3" t="s">
        <v>155</v>
      </c>
      <c r="H50" s="18" t="s">
        <v>512</v>
      </c>
      <c r="I50" s="18" t="s">
        <v>492</v>
      </c>
      <c r="J50" s="18"/>
    </row>
    <row r="51" spans="1:10" x14ac:dyDescent="0.2">
      <c r="A51" s="18" t="s">
        <v>443</v>
      </c>
      <c r="B51" s="3" t="s">
        <v>190</v>
      </c>
      <c r="C51" s="18" t="s">
        <v>444</v>
      </c>
      <c r="D51" s="3" t="s">
        <v>160</v>
      </c>
      <c r="E51" s="18" t="s">
        <v>446</v>
      </c>
      <c r="F51" s="18" t="s">
        <v>445</v>
      </c>
      <c r="G51" s="3" t="s">
        <v>155</v>
      </c>
      <c r="H51" s="18" t="s">
        <v>513</v>
      </c>
      <c r="I51" s="18" t="s">
        <v>492</v>
      </c>
      <c r="J51" s="18"/>
    </row>
    <row r="52" spans="1:10" x14ac:dyDescent="0.2">
      <c r="A52" s="18" t="s">
        <v>447</v>
      </c>
      <c r="B52" s="3" t="s">
        <v>190</v>
      </c>
      <c r="C52" s="18" t="s">
        <v>444</v>
      </c>
      <c r="D52" s="3" t="s">
        <v>160</v>
      </c>
      <c r="E52" s="18" t="s">
        <v>448</v>
      </c>
      <c r="F52" s="18" t="s">
        <v>445</v>
      </c>
      <c r="G52" s="3" t="s">
        <v>155</v>
      </c>
      <c r="H52" s="18" t="s">
        <v>514</v>
      </c>
      <c r="I52" s="18" t="s">
        <v>492</v>
      </c>
      <c r="J52" s="18"/>
    </row>
    <row r="53" spans="1:10" x14ac:dyDescent="0.2">
      <c r="A53" s="18" t="s">
        <v>418</v>
      </c>
      <c r="B53" s="3" t="s">
        <v>190</v>
      </c>
      <c r="C53" s="18" t="s">
        <v>419</v>
      </c>
      <c r="D53" s="3" t="s">
        <v>160</v>
      </c>
      <c r="E53" s="18" t="s">
        <v>421</v>
      </c>
      <c r="F53" s="18" t="s">
        <v>420</v>
      </c>
      <c r="G53" s="3" t="s">
        <v>155</v>
      </c>
      <c r="H53" s="18" t="s">
        <v>515</v>
      </c>
      <c r="I53" s="18" t="s">
        <v>492</v>
      </c>
      <c r="J53" s="18"/>
    </row>
    <row r="54" spans="1:10" x14ac:dyDescent="0.2">
      <c r="A54" s="18" t="s">
        <v>422</v>
      </c>
      <c r="B54" s="3" t="s">
        <v>190</v>
      </c>
      <c r="C54" s="18" t="s">
        <v>419</v>
      </c>
      <c r="D54" s="3" t="s">
        <v>160</v>
      </c>
      <c r="E54" s="18" t="s">
        <v>423</v>
      </c>
      <c r="F54" s="18" t="s">
        <v>420</v>
      </c>
      <c r="G54" s="3" t="s">
        <v>155</v>
      </c>
      <c r="H54" s="18" t="s">
        <v>516</v>
      </c>
      <c r="I54" s="18" t="s">
        <v>492</v>
      </c>
      <c r="J54" s="18" t="s">
        <v>587</v>
      </c>
    </row>
    <row r="55" spans="1:10" x14ac:dyDescent="0.2">
      <c r="A55" s="18" t="s">
        <v>424</v>
      </c>
      <c r="B55" s="3" t="s">
        <v>190</v>
      </c>
      <c r="C55" s="18" t="s">
        <v>419</v>
      </c>
      <c r="D55" s="3" t="s">
        <v>160</v>
      </c>
      <c r="E55" s="18" t="s">
        <v>425</v>
      </c>
      <c r="F55" s="18" t="s">
        <v>420</v>
      </c>
      <c r="G55" s="3" t="s">
        <v>155</v>
      </c>
      <c r="H55" s="18" t="s">
        <v>517</v>
      </c>
      <c r="I55" s="18" t="s">
        <v>492</v>
      </c>
      <c r="J55" s="18"/>
    </row>
    <row r="56" spans="1:10" x14ac:dyDescent="0.2">
      <c r="A56" s="18" t="s">
        <v>426</v>
      </c>
      <c r="B56" s="3" t="s">
        <v>190</v>
      </c>
      <c r="C56" s="18" t="s">
        <v>419</v>
      </c>
      <c r="D56" s="3" t="s">
        <v>160</v>
      </c>
      <c r="E56" s="18" t="s">
        <v>427</v>
      </c>
      <c r="F56" s="18" t="s">
        <v>420</v>
      </c>
      <c r="G56" s="3" t="s">
        <v>155</v>
      </c>
      <c r="H56" s="18" t="s">
        <v>518</v>
      </c>
      <c r="I56" s="18" t="s">
        <v>492</v>
      </c>
      <c r="J56" s="18"/>
    </row>
    <row r="57" spans="1:10" x14ac:dyDescent="0.2">
      <c r="A57" s="18" t="s">
        <v>189</v>
      </c>
      <c r="B57" s="3" t="s">
        <v>190</v>
      </c>
      <c r="C57" s="18" t="s">
        <v>191</v>
      </c>
      <c r="D57" s="3" t="s">
        <v>163</v>
      </c>
      <c r="E57" s="18" t="s">
        <v>193</v>
      </c>
      <c r="F57" s="18" t="s">
        <v>192</v>
      </c>
      <c r="G57" s="3" t="s">
        <v>155</v>
      </c>
      <c r="H57" s="18"/>
      <c r="I57" s="18" t="s">
        <v>504</v>
      </c>
      <c r="J57" s="18"/>
    </row>
    <row r="58" spans="1:10" x14ac:dyDescent="0.2">
      <c r="A58" s="18" t="s">
        <v>194</v>
      </c>
      <c r="B58" s="3" t="s">
        <v>190</v>
      </c>
      <c r="C58" s="18" t="s">
        <v>191</v>
      </c>
      <c r="D58" s="3" t="s">
        <v>163</v>
      </c>
      <c r="E58" s="18" t="s">
        <v>195</v>
      </c>
      <c r="F58" s="18" t="s">
        <v>192</v>
      </c>
      <c r="G58" s="3" t="s">
        <v>155</v>
      </c>
      <c r="H58" s="18"/>
      <c r="I58" s="18" t="s">
        <v>504</v>
      </c>
      <c r="J58" s="18"/>
    </row>
    <row r="59" spans="1:10" x14ac:dyDescent="0.2">
      <c r="A59" s="18" t="s">
        <v>314</v>
      </c>
      <c r="B59" s="3" t="s">
        <v>190</v>
      </c>
      <c r="C59" s="18" t="s">
        <v>191</v>
      </c>
      <c r="D59" s="3" t="s">
        <v>163</v>
      </c>
      <c r="E59" s="18" t="s">
        <v>315</v>
      </c>
      <c r="F59" s="18" t="s">
        <v>192</v>
      </c>
      <c r="G59" s="3" t="s">
        <v>277</v>
      </c>
      <c r="H59" s="18"/>
      <c r="I59" s="18" t="s">
        <v>504</v>
      </c>
      <c r="J59" s="18"/>
    </row>
    <row r="60" spans="1:10" x14ac:dyDescent="0.2">
      <c r="A60" s="18" t="s">
        <v>519</v>
      </c>
      <c r="B60" s="3" t="s">
        <v>190</v>
      </c>
      <c r="C60" s="18" t="s">
        <v>191</v>
      </c>
      <c r="D60" s="3" t="s">
        <v>163</v>
      </c>
      <c r="E60" s="18" t="s">
        <v>520</v>
      </c>
      <c r="F60" s="18" t="s">
        <v>192</v>
      </c>
      <c r="G60" s="3" t="s">
        <v>471</v>
      </c>
      <c r="H60" s="18"/>
      <c r="I60" s="18" t="s">
        <v>504</v>
      </c>
      <c r="J60" s="18"/>
    </row>
    <row r="61" spans="1:10" x14ac:dyDescent="0.2">
      <c r="A61" s="18" t="s">
        <v>316</v>
      </c>
      <c r="B61" s="3" t="s">
        <v>190</v>
      </c>
      <c r="C61" s="18" t="s">
        <v>317</v>
      </c>
      <c r="D61" s="3" t="s">
        <v>160</v>
      </c>
      <c r="E61" s="18" t="s">
        <v>319</v>
      </c>
      <c r="F61" s="18" t="s">
        <v>318</v>
      </c>
      <c r="G61" s="3" t="s">
        <v>155</v>
      </c>
      <c r="H61" s="18" t="s">
        <v>521</v>
      </c>
      <c r="I61" s="18" t="s">
        <v>492</v>
      </c>
      <c r="J61" s="18"/>
    </row>
    <row r="62" spans="1:10" x14ac:dyDescent="0.2">
      <c r="A62" s="18" t="s">
        <v>320</v>
      </c>
      <c r="B62" s="3" t="s">
        <v>190</v>
      </c>
      <c r="C62" s="18" t="s">
        <v>317</v>
      </c>
      <c r="D62" s="3" t="s">
        <v>160</v>
      </c>
      <c r="E62" s="18" t="s">
        <v>321</v>
      </c>
      <c r="F62" s="18" t="s">
        <v>318</v>
      </c>
      <c r="G62" s="3" t="s">
        <v>155</v>
      </c>
      <c r="H62" s="18" t="s">
        <v>522</v>
      </c>
      <c r="I62" s="18" t="s">
        <v>492</v>
      </c>
      <c r="J62" s="18"/>
    </row>
    <row r="63" spans="1:10" x14ac:dyDescent="0.2">
      <c r="A63" s="18" t="s">
        <v>322</v>
      </c>
      <c r="B63" s="3" t="s">
        <v>157</v>
      </c>
      <c r="C63" s="18" t="s">
        <v>323</v>
      </c>
      <c r="D63" s="3" t="s">
        <v>160</v>
      </c>
      <c r="E63" s="18" t="s">
        <v>325</v>
      </c>
      <c r="F63" s="18" t="s">
        <v>324</v>
      </c>
      <c r="G63" s="3" t="s">
        <v>155</v>
      </c>
      <c r="H63" s="18" t="s">
        <v>523</v>
      </c>
      <c r="I63" s="18" t="s">
        <v>524</v>
      </c>
      <c r="J63" s="18"/>
    </row>
    <row r="64" spans="1:10" x14ac:dyDescent="0.2">
      <c r="A64" s="18" t="s">
        <v>326</v>
      </c>
      <c r="B64" s="3" t="s">
        <v>157</v>
      </c>
      <c r="C64" s="18" t="s">
        <v>323</v>
      </c>
      <c r="D64" s="3" t="s">
        <v>160</v>
      </c>
      <c r="E64" s="18" t="s">
        <v>327</v>
      </c>
      <c r="F64" s="18" t="s">
        <v>324</v>
      </c>
      <c r="G64" s="3" t="s">
        <v>155</v>
      </c>
      <c r="H64" s="18" t="s">
        <v>525</v>
      </c>
      <c r="I64" s="18" t="s">
        <v>524</v>
      </c>
      <c r="J64" s="18"/>
    </row>
    <row r="65" spans="1:10" x14ac:dyDescent="0.2">
      <c r="A65" s="18" t="s">
        <v>328</v>
      </c>
      <c r="B65" s="3" t="s">
        <v>157</v>
      </c>
      <c r="C65" s="18" t="s">
        <v>323</v>
      </c>
      <c r="D65" s="3" t="s">
        <v>160</v>
      </c>
      <c r="E65" s="18" t="s">
        <v>329</v>
      </c>
      <c r="F65" s="18" t="s">
        <v>324</v>
      </c>
      <c r="G65" s="3" t="s">
        <v>155</v>
      </c>
      <c r="H65" s="18" t="s">
        <v>526</v>
      </c>
      <c r="I65" s="18" t="s">
        <v>524</v>
      </c>
      <c r="J65" s="18"/>
    </row>
    <row r="66" spans="1:10" x14ac:dyDescent="0.2">
      <c r="A66" s="18" t="s">
        <v>330</v>
      </c>
      <c r="B66" s="3" t="s">
        <v>157</v>
      </c>
      <c r="C66" s="18" t="s">
        <v>323</v>
      </c>
      <c r="D66" s="3" t="s">
        <v>160</v>
      </c>
      <c r="E66" s="18" t="s">
        <v>331</v>
      </c>
      <c r="F66" s="18" t="s">
        <v>324</v>
      </c>
      <c r="G66" s="3" t="s">
        <v>155</v>
      </c>
      <c r="H66" s="18" t="s">
        <v>527</v>
      </c>
      <c r="I66" s="18" t="s">
        <v>524</v>
      </c>
      <c r="J66" s="18"/>
    </row>
    <row r="67" spans="1:10" x14ac:dyDescent="0.2">
      <c r="A67" s="18" t="s">
        <v>334</v>
      </c>
      <c r="B67" s="3" t="s">
        <v>157</v>
      </c>
      <c r="C67" s="18" t="s">
        <v>332</v>
      </c>
      <c r="D67" s="3" t="s">
        <v>160</v>
      </c>
      <c r="E67" s="18" t="s">
        <v>335</v>
      </c>
      <c r="F67" s="18" t="s">
        <v>333</v>
      </c>
      <c r="G67" s="3" t="s">
        <v>155</v>
      </c>
      <c r="H67" s="18" t="s">
        <v>528</v>
      </c>
      <c r="I67" s="18" t="s">
        <v>524</v>
      </c>
      <c r="J67" s="18"/>
    </row>
    <row r="68" spans="1:10" x14ac:dyDescent="0.2">
      <c r="A68" s="18" t="s">
        <v>336</v>
      </c>
      <c r="B68" s="3" t="s">
        <v>157</v>
      </c>
      <c r="C68" s="18" t="s">
        <v>332</v>
      </c>
      <c r="D68" s="3" t="s">
        <v>160</v>
      </c>
      <c r="E68" s="18" t="s">
        <v>337</v>
      </c>
      <c r="F68" s="18" t="s">
        <v>333</v>
      </c>
      <c r="G68" s="3" t="s">
        <v>155</v>
      </c>
      <c r="H68" s="18" t="s">
        <v>529</v>
      </c>
      <c r="I68" s="18" t="s">
        <v>524</v>
      </c>
      <c r="J68" s="18"/>
    </row>
    <row r="69" spans="1:10" x14ac:dyDescent="0.2">
      <c r="A69" s="18" t="s">
        <v>588</v>
      </c>
      <c r="B69" s="3" t="s">
        <v>157</v>
      </c>
      <c r="C69" s="18" t="s">
        <v>589</v>
      </c>
      <c r="D69" s="3" t="s">
        <v>463</v>
      </c>
      <c r="E69" s="18" t="s">
        <v>590</v>
      </c>
      <c r="F69" s="18" t="s">
        <v>333</v>
      </c>
      <c r="G69" s="3" t="s">
        <v>155</v>
      </c>
      <c r="H69" s="18" t="s">
        <v>591</v>
      </c>
      <c r="I69" s="18" t="s">
        <v>592</v>
      </c>
      <c r="J69" s="18"/>
    </row>
    <row r="70" spans="1:10" x14ac:dyDescent="0.2">
      <c r="A70" s="18" t="s">
        <v>593</v>
      </c>
      <c r="B70" s="3" t="s">
        <v>157</v>
      </c>
      <c r="C70" s="18" t="s">
        <v>589</v>
      </c>
      <c r="D70" s="3" t="s">
        <v>463</v>
      </c>
      <c r="E70" s="18" t="s">
        <v>594</v>
      </c>
      <c r="F70" s="18" t="s">
        <v>333</v>
      </c>
      <c r="G70" s="3" t="s">
        <v>155</v>
      </c>
      <c r="H70" s="18" t="s">
        <v>595</v>
      </c>
      <c r="I70" s="18" t="s">
        <v>592</v>
      </c>
      <c r="J70" s="18"/>
    </row>
    <row r="71" spans="1:10" x14ac:dyDescent="0.2">
      <c r="A71" s="18" t="s">
        <v>530</v>
      </c>
      <c r="B71" s="3" t="s">
        <v>157</v>
      </c>
      <c r="C71" s="18" t="s">
        <v>531</v>
      </c>
      <c r="D71" s="3" t="s">
        <v>160</v>
      </c>
      <c r="E71" s="18" t="s">
        <v>533</v>
      </c>
      <c r="F71" s="18" t="s">
        <v>532</v>
      </c>
      <c r="G71" s="3" t="s">
        <v>155</v>
      </c>
      <c r="H71" s="18" t="s">
        <v>534</v>
      </c>
      <c r="I71" s="18" t="s">
        <v>524</v>
      </c>
      <c r="J71" s="18"/>
    </row>
    <row r="72" spans="1:10" x14ac:dyDescent="0.2">
      <c r="A72" s="18" t="s">
        <v>535</v>
      </c>
      <c r="B72" s="3" t="s">
        <v>157</v>
      </c>
      <c r="C72" s="18" t="s">
        <v>531</v>
      </c>
      <c r="D72" s="3" t="s">
        <v>160</v>
      </c>
      <c r="E72" s="18" t="s">
        <v>536</v>
      </c>
      <c r="F72" s="18" t="s">
        <v>532</v>
      </c>
      <c r="G72" s="3" t="s">
        <v>155</v>
      </c>
      <c r="H72" s="18" t="s">
        <v>537</v>
      </c>
      <c r="I72" s="18" t="s">
        <v>524</v>
      </c>
      <c r="J72" s="18"/>
    </row>
    <row r="73" spans="1:10" x14ac:dyDescent="0.2">
      <c r="A73" s="18" t="s">
        <v>338</v>
      </c>
      <c r="B73" s="3" t="s">
        <v>157</v>
      </c>
      <c r="C73" s="18" t="s">
        <v>339</v>
      </c>
      <c r="D73" s="3" t="s">
        <v>160</v>
      </c>
      <c r="E73" s="18" t="s">
        <v>341</v>
      </c>
      <c r="F73" s="18" t="s">
        <v>340</v>
      </c>
      <c r="G73" s="3" t="s">
        <v>155</v>
      </c>
      <c r="H73" s="18" t="s">
        <v>538</v>
      </c>
      <c r="I73" s="18" t="s">
        <v>524</v>
      </c>
      <c r="J73" s="18"/>
    </row>
    <row r="74" spans="1:10" x14ac:dyDescent="0.2">
      <c r="A74" s="18" t="s">
        <v>342</v>
      </c>
      <c r="B74" s="3" t="s">
        <v>157</v>
      </c>
      <c r="C74" s="18" t="s">
        <v>339</v>
      </c>
      <c r="D74" s="3" t="s">
        <v>160</v>
      </c>
      <c r="E74" s="18" t="s">
        <v>343</v>
      </c>
      <c r="F74" s="18" t="s">
        <v>340</v>
      </c>
      <c r="G74" s="3" t="s">
        <v>155</v>
      </c>
      <c r="H74" s="18" t="s">
        <v>539</v>
      </c>
      <c r="I74" s="18" t="s">
        <v>524</v>
      </c>
      <c r="J74" s="18"/>
    </row>
    <row r="75" spans="1:10" x14ac:dyDescent="0.2">
      <c r="A75" s="18" t="s">
        <v>167</v>
      </c>
      <c r="B75" s="3" t="s">
        <v>157</v>
      </c>
      <c r="C75" s="18" t="s">
        <v>168</v>
      </c>
      <c r="D75" s="3" t="s">
        <v>163</v>
      </c>
      <c r="E75" s="18" t="s">
        <v>169</v>
      </c>
      <c r="F75" s="18" t="s">
        <v>159</v>
      </c>
      <c r="G75" s="3" t="s">
        <v>155</v>
      </c>
      <c r="H75" s="18" t="s">
        <v>540</v>
      </c>
      <c r="I75" s="18" t="s">
        <v>541</v>
      </c>
      <c r="J75" s="18"/>
    </row>
    <row r="76" spans="1:10" x14ac:dyDescent="0.2">
      <c r="A76" s="18" t="s">
        <v>170</v>
      </c>
      <c r="B76" s="3" t="s">
        <v>157</v>
      </c>
      <c r="C76" s="18" t="s">
        <v>168</v>
      </c>
      <c r="D76" s="3" t="s">
        <v>163</v>
      </c>
      <c r="E76" s="18" t="s">
        <v>171</v>
      </c>
      <c r="F76" s="18" t="s">
        <v>159</v>
      </c>
      <c r="G76" s="3" t="s">
        <v>155</v>
      </c>
      <c r="H76" s="18" t="s">
        <v>542</v>
      </c>
      <c r="I76" s="18" t="s">
        <v>541</v>
      </c>
      <c r="J76" s="18"/>
    </row>
    <row r="77" spans="1:10" x14ac:dyDescent="0.2">
      <c r="A77" s="18" t="s">
        <v>543</v>
      </c>
      <c r="B77" s="3" t="s">
        <v>157</v>
      </c>
      <c r="C77" s="18" t="s">
        <v>168</v>
      </c>
      <c r="D77" s="3" t="s">
        <v>163</v>
      </c>
      <c r="E77" s="18" t="s">
        <v>544</v>
      </c>
      <c r="F77" s="18" t="s">
        <v>159</v>
      </c>
      <c r="G77" s="3" t="s">
        <v>471</v>
      </c>
      <c r="H77" s="18"/>
      <c r="I77" s="18" t="s">
        <v>541</v>
      </c>
      <c r="J77" s="18"/>
    </row>
    <row r="78" spans="1:10" x14ac:dyDescent="0.2">
      <c r="A78" s="18" t="s">
        <v>344</v>
      </c>
      <c r="B78" s="3" t="s">
        <v>157</v>
      </c>
      <c r="C78" s="18" t="s">
        <v>345</v>
      </c>
      <c r="D78" s="3" t="s">
        <v>160</v>
      </c>
      <c r="E78" s="18" t="s">
        <v>346</v>
      </c>
      <c r="F78" s="18" t="s">
        <v>159</v>
      </c>
      <c r="G78" s="3" t="s">
        <v>155</v>
      </c>
      <c r="H78" s="18" t="s">
        <v>545</v>
      </c>
      <c r="I78" s="18" t="s">
        <v>524</v>
      </c>
      <c r="J78" s="18"/>
    </row>
    <row r="79" spans="1:10" x14ac:dyDescent="0.2">
      <c r="A79" s="18" t="s">
        <v>347</v>
      </c>
      <c r="B79" s="3" t="s">
        <v>157</v>
      </c>
      <c r="C79" s="18" t="s">
        <v>345</v>
      </c>
      <c r="D79" s="3" t="s">
        <v>160</v>
      </c>
      <c r="E79" s="18" t="s">
        <v>348</v>
      </c>
      <c r="F79" s="18" t="s">
        <v>159</v>
      </c>
      <c r="G79" s="3" t="s">
        <v>155</v>
      </c>
      <c r="H79" s="18" t="s">
        <v>546</v>
      </c>
      <c r="I79" s="18" t="s">
        <v>524</v>
      </c>
      <c r="J79" s="18"/>
    </row>
    <row r="80" spans="1:10" x14ac:dyDescent="0.2">
      <c r="A80" s="18" t="s">
        <v>162</v>
      </c>
      <c r="B80" s="3" t="s">
        <v>157</v>
      </c>
      <c r="C80" s="18" t="s">
        <v>158</v>
      </c>
      <c r="D80" s="3" t="s">
        <v>163</v>
      </c>
      <c r="E80" s="18" t="s">
        <v>164</v>
      </c>
      <c r="F80" s="18" t="s">
        <v>159</v>
      </c>
      <c r="G80" s="3" t="s">
        <v>155</v>
      </c>
      <c r="H80" s="18" t="s">
        <v>547</v>
      </c>
      <c r="I80" s="18" t="s">
        <v>541</v>
      </c>
      <c r="J80" s="18"/>
    </row>
    <row r="81" spans="1:10" x14ac:dyDescent="0.2">
      <c r="A81" s="18" t="s">
        <v>165</v>
      </c>
      <c r="B81" s="3" t="s">
        <v>157</v>
      </c>
      <c r="C81" s="18" t="s">
        <v>158</v>
      </c>
      <c r="D81" s="3" t="s">
        <v>163</v>
      </c>
      <c r="E81" s="18" t="s">
        <v>166</v>
      </c>
      <c r="F81" s="18" t="s">
        <v>159</v>
      </c>
      <c r="G81" s="3" t="s">
        <v>155</v>
      </c>
      <c r="H81" s="18" t="s">
        <v>548</v>
      </c>
      <c r="I81" s="18" t="s">
        <v>541</v>
      </c>
      <c r="J81" s="18"/>
    </row>
    <row r="82" spans="1:10" x14ac:dyDescent="0.2">
      <c r="A82" s="18" t="s">
        <v>349</v>
      </c>
      <c r="B82" s="3" t="s">
        <v>157</v>
      </c>
      <c r="C82" s="18" t="s">
        <v>158</v>
      </c>
      <c r="D82" s="3" t="s">
        <v>163</v>
      </c>
      <c r="E82" s="18" t="s">
        <v>350</v>
      </c>
      <c r="F82" s="18" t="s">
        <v>159</v>
      </c>
      <c r="G82" s="3" t="s">
        <v>277</v>
      </c>
      <c r="H82" s="18"/>
      <c r="I82" s="18" t="s">
        <v>541</v>
      </c>
      <c r="J82" s="18"/>
    </row>
    <row r="83" spans="1:10" x14ac:dyDescent="0.2">
      <c r="A83" s="18" t="s">
        <v>549</v>
      </c>
      <c r="B83" s="3" t="s">
        <v>157</v>
      </c>
      <c r="C83" s="18" t="s">
        <v>158</v>
      </c>
      <c r="D83" s="3" t="s">
        <v>163</v>
      </c>
      <c r="E83" s="18" t="s">
        <v>550</v>
      </c>
      <c r="F83" s="18" t="s">
        <v>159</v>
      </c>
      <c r="G83" s="3" t="s">
        <v>471</v>
      </c>
      <c r="H83" s="18"/>
      <c r="I83" s="18" t="s">
        <v>541</v>
      </c>
      <c r="J83" s="18"/>
    </row>
    <row r="84" spans="1:10" x14ac:dyDescent="0.2">
      <c r="A84" s="18" t="s">
        <v>156</v>
      </c>
      <c r="B84" s="3" t="s">
        <v>157</v>
      </c>
      <c r="C84" s="18" t="s">
        <v>158</v>
      </c>
      <c r="D84" s="3" t="s">
        <v>180</v>
      </c>
      <c r="E84" s="18" t="s">
        <v>351</v>
      </c>
      <c r="F84" s="18" t="s">
        <v>159</v>
      </c>
      <c r="G84" s="3" t="s">
        <v>155</v>
      </c>
      <c r="H84" s="18" t="s">
        <v>551</v>
      </c>
      <c r="I84" s="18" t="s">
        <v>552</v>
      </c>
      <c r="J84" s="18"/>
    </row>
    <row r="85" spans="1:10" x14ac:dyDescent="0.2">
      <c r="A85" s="18" t="s">
        <v>161</v>
      </c>
      <c r="B85" s="3" t="s">
        <v>157</v>
      </c>
      <c r="C85" s="18" t="s">
        <v>158</v>
      </c>
      <c r="D85" s="3" t="s">
        <v>180</v>
      </c>
      <c r="E85" s="18" t="s">
        <v>352</v>
      </c>
      <c r="F85" s="18" t="s">
        <v>159</v>
      </c>
      <c r="G85" s="3" t="s">
        <v>155</v>
      </c>
      <c r="H85" s="18" t="s">
        <v>553</v>
      </c>
      <c r="I85" s="18" t="s">
        <v>552</v>
      </c>
      <c r="J85" s="18"/>
    </row>
    <row r="86" spans="1:10" x14ac:dyDescent="0.2">
      <c r="A86" s="18" t="s">
        <v>428</v>
      </c>
      <c r="B86" s="3" t="s">
        <v>157</v>
      </c>
      <c r="C86" s="18" t="s">
        <v>429</v>
      </c>
      <c r="D86" s="3" t="s">
        <v>160</v>
      </c>
      <c r="E86" s="18" t="s">
        <v>430</v>
      </c>
      <c r="F86" s="18" t="s">
        <v>159</v>
      </c>
      <c r="G86" s="3" t="s">
        <v>155</v>
      </c>
      <c r="H86" s="18" t="s">
        <v>554</v>
      </c>
      <c r="I86" s="18" t="s">
        <v>524</v>
      </c>
      <c r="J86" s="18"/>
    </row>
    <row r="87" spans="1:10" x14ac:dyDescent="0.2">
      <c r="A87" s="18" t="s">
        <v>431</v>
      </c>
      <c r="B87" s="3" t="s">
        <v>157</v>
      </c>
      <c r="C87" s="18" t="s">
        <v>429</v>
      </c>
      <c r="D87" s="3" t="s">
        <v>160</v>
      </c>
      <c r="E87" s="18" t="s">
        <v>432</v>
      </c>
      <c r="F87" s="18" t="s">
        <v>159</v>
      </c>
      <c r="G87" s="3" t="s">
        <v>155</v>
      </c>
      <c r="H87" s="18" t="s">
        <v>555</v>
      </c>
      <c r="I87" s="18" t="s">
        <v>524</v>
      </c>
      <c r="J87" s="18"/>
    </row>
    <row r="88" spans="1:10" x14ac:dyDescent="0.2">
      <c r="A88" s="18" t="s">
        <v>175</v>
      </c>
      <c r="B88" s="3" t="s">
        <v>157</v>
      </c>
      <c r="C88" s="18" t="s">
        <v>173</v>
      </c>
      <c r="D88" s="3" t="s">
        <v>160</v>
      </c>
      <c r="E88" s="18" t="s">
        <v>176</v>
      </c>
      <c r="F88" s="18" t="s">
        <v>159</v>
      </c>
      <c r="G88" s="3" t="s">
        <v>155</v>
      </c>
      <c r="H88" s="18"/>
      <c r="I88" s="18" t="s">
        <v>524</v>
      </c>
      <c r="J88" s="18"/>
    </row>
    <row r="89" spans="1:10" x14ac:dyDescent="0.2">
      <c r="A89" s="18" t="s">
        <v>177</v>
      </c>
      <c r="B89" s="3" t="s">
        <v>157</v>
      </c>
      <c r="C89" s="18" t="s">
        <v>173</v>
      </c>
      <c r="D89" s="3" t="s">
        <v>160</v>
      </c>
      <c r="E89" s="18" t="s">
        <v>178</v>
      </c>
      <c r="F89" s="18" t="s">
        <v>159</v>
      </c>
      <c r="G89" s="3" t="s">
        <v>155</v>
      </c>
      <c r="H89" s="18"/>
      <c r="I89" s="18" t="s">
        <v>524</v>
      </c>
      <c r="J89" s="18"/>
    </row>
    <row r="90" spans="1:10" x14ac:dyDescent="0.2">
      <c r="A90" s="18" t="s">
        <v>353</v>
      </c>
      <c r="B90" s="3" t="s">
        <v>157</v>
      </c>
      <c r="C90" s="18" t="s">
        <v>173</v>
      </c>
      <c r="D90" s="3" t="s">
        <v>160</v>
      </c>
      <c r="E90" s="18" t="s">
        <v>354</v>
      </c>
      <c r="F90" s="18" t="s">
        <v>159</v>
      </c>
      <c r="G90" s="3" t="s">
        <v>155</v>
      </c>
      <c r="H90" s="18" t="s">
        <v>556</v>
      </c>
      <c r="I90" s="18" t="s">
        <v>524</v>
      </c>
      <c r="J90" s="18"/>
    </row>
    <row r="91" spans="1:10" x14ac:dyDescent="0.2">
      <c r="A91" s="18" t="s">
        <v>355</v>
      </c>
      <c r="B91" s="3" t="s">
        <v>157</v>
      </c>
      <c r="C91" s="18" t="s">
        <v>173</v>
      </c>
      <c r="D91" s="3" t="s">
        <v>160</v>
      </c>
      <c r="E91" s="18" t="s">
        <v>356</v>
      </c>
      <c r="F91" s="18" t="s">
        <v>159</v>
      </c>
      <c r="G91" s="3" t="s">
        <v>155</v>
      </c>
      <c r="H91" s="18" t="s">
        <v>557</v>
      </c>
      <c r="I91" s="18" t="s">
        <v>524</v>
      </c>
      <c r="J91" s="18"/>
    </row>
    <row r="92" spans="1:10" x14ac:dyDescent="0.2">
      <c r="A92" s="18" t="s">
        <v>172</v>
      </c>
      <c r="B92" s="3" t="s">
        <v>157</v>
      </c>
      <c r="C92" s="18" t="s">
        <v>173</v>
      </c>
      <c r="D92" s="3" t="s">
        <v>163</v>
      </c>
      <c r="E92" s="18" t="s">
        <v>174</v>
      </c>
      <c r="F92" s="18" t="s">
        <v>159</v>
      </c>
      <c r="G92" s="3" t="s">
        <v>155</v>
      </c>
      <c r="H92" s="18" t="s">
        <v>558</v>
      </c>
      <c r="I92" s="18" t="s">
        <v>541</v>
      </c>
      <c r="J92" s="18"/>
    </row>
    <row r="93" spans="1:10" x14ac:dyDescent="0.2">
      <c r="A93" s="18" t="s">
        <v>357</v>
      </c>
      <c r="B93" s="3" t="s">
        <v>157</v>
      </c>
      <c r="C93" s="18" t="s">
        <v>173</v>
      </c>
      <c r="D93" s="3" t="s">
        <v>163</v>
      </c>
      <c r="E93" s="18" t="s">
        <v>358</v>
      </c>
      <c r="F93" s="18" t="s">
        <v>159</v>
      </c>
      <c r="G93" s="3" t="s">
        <v>155</v>
      </c>
      <c r="H93" s="18" t="s">
        <v>559</v>
      </c>
      <c r="I93" s="18" t="s">
        <v>541</v>
      </c>
      <c r="J93" s="18"/>
    </row>
    <row r="94" spans="1:10" x14ac:dyDescent="0.2">
      <c r="A94" s="18" t="s">
        <v>359</v>
      </c>
      <c r="B94" s="3" t="s">
        <v>157</v>
      </c>
      <c r="C94" s="18" t="s">
        <v>173</v>
      </c>
      <c r="D94" s="3" t="s">
        <v>163</v>
      </c>
      <c r="E94" s="18" t="s">
        <v>360</v>
      </c>
      <c r="F94" s="18" t="s">
        <v>159</v>
      </c>
      <c r="G94" s="3" t="s">
        <v>277</v>
      </c>
      <c r="H94" s="18"/>
      <c r="I94" s="18" t="s">
        <v>541</v>
      </c>
      <c r="J94" s="18"/>
    </row>
    <row r="95" spans="1:10" x14ac:dyDescent="0.2">
      <c r="A95" s="18" t="s">
        <v>560</v>
      </c>
      <c r="B95" s="3" t="s">
        <v>157</v>
      </c>
      <c r="C95" s="18" t="s">
        <v>173</v>
      </c>
      <c r="D95" s="3" t="s">
        <v>163</v>
      </c>
      <c r="E95" s="18" t="s">
        <v>561</v>
      </c>
      <c r="F95" s="18" t="s">
        <v>159</v>
      </c>
      <c r="G95" s="3" t="s">
        <v>471</v>
      </c>
      <c r="H95" s="18"/>
      <c r="I95" s="18" t="s">
        <v>541</v>
      </c>
      <c r="J95" s="18"/>
    </row>
    <row r="96" spans="1:10" x14ac:dyDescent="0.2">
      <c r="A96" s="18" t="s">
        <v>179</v>
      </c>
      <c r="B96" s="3" t="s">
        <v>157</v>
      </c>
      <c r="C96" s="18" t="s">
        <v>173</v>
      </c>
      <c r="D96" s="3" t="s">
        <v>180</v>
      </c>
      <c r="E96" s="18" t="s">
        <v>181</v>
      </c>
      <c r="F96" s="18" t="s">
        <v>159</v>
      </c>
      <c r="G96" s="3" t="s">
        <v>155</v>
      </c>
      <c r="H96" s="18" t="s">
        <v>562</v>
      </c>
      <c r="I96" s="18" t="s">
        <v>552</v>
      </c>
      <c r="J96" s="18"/>
    </row>
    <row r="97" spans="1:10" x14ac:dyDescent="0.2">
      <c r="A97" s="18" t="s">
        <v>182</v>
      </c>
      <c r="B97" s="3" t="s">
        <v>157</v>
      </c>
      <c r="C97" s="18" t="s">
        <v>173</v>
      </c>
      <c r="D97" s="3" t="s">
        <v>180</v>
      </c>
      <c r="E97" s="18" t="s">
        <v>183</v>
      </c>
      <c r="F97" s="18" t="s">
        <v>159</v>
      </c>
      <c r="G97" s="3" t="s">
        <v>155</v>
      </c>
      <c r="H97" s="18" t="s">
        <v>563</v>
      </c>
      <c r="I97" s="18" t="s">
        <v>552</v>
      </c>
      <c r="J97" s="18"/>
    </row>
    <row r="98" spans="1:10" x14ac:dyDescent="0.2">
      <c r="A98" s="18" t="s">
        <v>433</v>
      </c>
      <c r="B98" s="3" t="s">
        <v>157</v>
      </c>
      <c r="C98" s="18" t="s">
        <v>434</v>
      </c>
      <c r="D98" s="3" t="s">
        <v>160</v>
      </c>
      <c r="E98" s="18" t="s">
        <v>435</v>
      </c>
      <c r="F98" s="18" t="s">
        <v>159</v>
      </c>
      <c r="G98" s="3" t="s">
        <v>155</v>
      </c>
      <c r="H98" s="18" t="s">
        <v>564</v>
      </c>
      <c r="I98" s="18" t="s">
        <v>524</v>
      </c>
      <c r="J98" s="18"/>
    </row>
    <row r="99" spans="1:10" x14ac:dyDescent="0.2">
      <c r="A99" s="18" t="s">
        <v>436</v>
      </c>
      <c r="B99" s="3" t="s">
        <v>157</v>
      </c>
      <c r="C99" s="18" t="s">
        <v>434</v>
      </c>
      <c r="D99" s="3" t="s">
        <v>160</v>
      </c>
      <c r="E99" s="18" t="s">
        <v>437</v>
      </c>
      <c r="F99" s="18" t="s">
        <v>159</v>
      </c>
      <c r="G99" s="3" t="s">
        <v>155</v>
      </c>
      <c r="H99" s="18" t="s">
        <v>565</v>
      </c>
      <c r="I99" s="18" t="s">
        <v>524</v>
      </c>
      <c r="J99" s="18"/>
    </row>
    <row r="100" spans="1:10" x14ac:dyDescent="0.2">
      <c r="A100" s="18" t="s">
        <v>361</v>
      </c>
      <c r="B100" s="3" t="s">
        <v>157</v>
      </c>
      <c r="C100" s="18" t="s">
        <v>362</v>
      </c>
      <c r="D100" s="3" t="s">
        <v>160</v>
      </c>
      <c r="E100" s="18" t="s">
        <v>363</v>
      </c>
      <c r="F100" s="18" t="s">
        <v>159</v>
      </c>
      <c r="G100" s="3" t="s">
        <v>155</v>
      </c>
      <c r="H100" s="18" t="s">
        <v>566</v>
      </c>
      <c r="I100" s="18" t="s">
        <v>524</v>
      </c>
      <c r="J100" s="18"/>
    </row>
    <row r="101" spans="1:10" x14ac:dyDescent="0.2">
      <c r="A101" s="18" t="s">
        <v>364</v>
      </c>
      <c r="B101" s="3" t="s">
        <v>157</v>
      </c>
      <c r="C101" s="18" t="s">
        <v>362</v>
      </c>
      <c r="D101" s="3" t="s">
        <v>160</v>
      </c>
      <c r="E101" s="18" t="s">
        <v>365</v>
      </c>
      <c r="F101" s="18" t="s">
        <v>159</v>
      </c>
      <c r="G101" s="3" t="s">
        <v>155</v>
      </c>
      <c r="H101" s="18" t="s">
        <v>567</v>
      </c>
      <c r="I101" s="18" t="s">
        <v>524</v>
      </c>
      <c r="J101" s="18"/>
    </row>
    <row r="102" spans="1:10" x14ac:dyDescent="0.2">
      <c r="A102" s="18" t="s">
        <v>366</v>
      </c>
      <c r="B102" s="3" t="s">
        <v>157</v>
      </c>
      <c r="C102" s="18" t="s">
        <v>367</v>
      </c>
      <c r="D102" s="3" t="s">
        <v>180</v>
      </c>
      <c r="E102" s="18" t="s">
        <v>368</v>
      </c>
      <c r="F102" s="18" t="s">
        <v>159</v>
      </c>
      <c r="G102" s="3" t="s">
        <v>155</v>
      </c>
      <c r="H102" s="18" t="s">
        <v>568</v>
      </c>
      <c r="I102" s="18" t="s">
        <v>552</v>
      </c>
      <c r="J102" s="18"/>
    </row>
    <row r="103" spans="1:10" x14ac:dyDescent="0.2">
      <c r="A103" s="18" t="s">
        <v>369</v>
      </c>
      <c r="B103" s="3" t="s">
        <v>157</v>
      </c>
      <c r="C103" s="18" t="s">
        <v>367</v>
      </c>
      <c r="D103" s="3" t="s">
        <v>180</v>
      </c>
      <c r="E103" s="18" t="s">
        <v>370</v>
      </c>
      <c r="F103" s="18" t="s">
        <v>159</v>
      </c>
      <c r="G103" s="3" t="s">
        <v>155</v>
      </c>
      <c r="H103" s="18" t="s">
        <v>569</v>
      </c>
      <c r="I103" s="18" t="s">
        <v>552</v>
      </c>
      <c r="J103" s="18"/>
    </row>
    <row r="104" spans="1:10" x14ac:dyDescent="0.2">
      <c r="A104" s="18" t="s">
        <v>371</v>
      </c>
      <c r="B104" s="3" t="s">
        <v>157</v>
      </c>
      <c r="C104" s="18" t="s">
        <v>185</v>
      </c>
      <c r="D104" s="3" t="s">
        <v>160</v>
      </c>
      <c r="E104" s="18" t="s">
        <v>372</v>
      </c>
      <c r="F104" s="18" t="s">
        <v>159</v>
      </c>
      <c r="G104" s="3" t="s">
        <v>155</v>
      </c>
      <c r="H104" s="18"/>
      <c r="I104" s="18" t="s">
        <v>524</v>
      </c>
      <c r="J104" s="18"/>
    </row>
    <row r="105" spans="1:10" x14ac:dyDescent="0.2">
      <c r="A105" s="18" t="s">
        <v>373</v>
      </c>
      <c r="B105" s="3" t="s">
        <v>157</v>
      </c>
      <c r="C105" s="18" t="s">
        <v>185</v>
      </c>
      <c r="D105" s="3" t="s">
        <v>160</v>
      </c>
      <c r="E105" s="18" t="s">
        <v>374</v>
      </c>
      <c r="F105" s="18" t="s">
        <v>159</v>
      </c>
      <c r="G105" s="3" t="s">
        <v>155</v>
      </c>
      <c r="H105" s="18"/>
      <c r="I105" s="18" t="s">
        <v>524</v>
      </c>
      <c r="J105" s="18"/>
    </row>
    <row r="106" spans="1:10" x14ac:dyDescent="0.2">
      <c r="A106" s="18" t="s">
        <v>375</v>
      </c>
      <c r="B106" s="3" t="s">
        <v>157</v>
      </c>
      <c r="C106" s="18" t="s">
        <v>185</v>
      </c>
      <c r="D106" s="3" t="s">
        <v>160</v>
      </c>
      <c r="E106" s="18" t="s">
        <v>376</v>
      </c>
      <c r="F106" s="18" t="s">
        <v>159</v>
      </c>
      <c r="G106" s="3" t="s">
        <v>155</v>
      </c>
      <c r="H106" s="18"/>
      <c r="I106" s="18" t="s">
        <v>524</v>
      </c>
      <c r="J106" s="18"/>
    </row>
    <row r="107" spans="1:10" x14ac:dyDescent="0.2">
      <c r="A107" s="18" t="s">
        <v>377</v>
      </c>
      <c r="B107" s="3" t="s">
        <v>157</v>
      </c>
      <c r="C107" s="18" t="s">
        <v>185</v>
      </c>
      <c r="D107" s="3" t="s">
        <v>160</v>
      </c>
      <c r="E107" s="18" t="s">
        <v>378</v>
      </c>
      <c r="F107" s="18" t="s">
        <v>159</v>
      </c>
      <c r="G107" s="3" t="s">
        <v>155</v>
      </c>
      <c r="H107" s="18"/>
      <c r="I107" s="18" t="s">
        <v>524</v>
      </c>
      <c r="J107" s="18"/>
    </row>
    <row r="108" spans="1:10" x14ac:dyDescent="0.2">
      <c r="A108" s="18" t="s">
        <v>184</v>
      </c>
      <c r="B108" s="3" t="s">
        <v>157</v>
      </c>
      <c r="C108" s="18" t="s">
        <v>185</v>
      </c>
      <c r="D108" s="3" t="s">
        <v>163</v>
      </c>
      <c r="E108" s="18" t="s">
        <v>186</v>
      </c>
      <c r="F108" s="18" t="s">
        <v>159</v>
      </c>
      <c r="G108" s="3" t="s">
        <v>155</v>
      </c>
      <c r="H108" s="18"/>
      <c r="I108" s="18" t="s">
        <v>541</v>
      </c>
      <c r="J108" s="18"/>
    </row>
    <row r="109" spans="1:10" x14ac:dyDescent="0.2">
      <c r="A109" s="18" t="s">
        <v>187</v>
      </c>
      <c r="B109" s="3" t="s">
        <v>157</v>
      </c>
      <c r="C109" s="18" t="s">
        <v>185</v>
      </c>
      <c r="D109" s="3" t="s">
        <v>163</v>
      </c>
      <c r="E109" s="18" t="s">
        <v>188</v>
      </c>
      <c r="F109" s="18" t="s">
        <v>159</v>
      </c>
      <c r="G109" s="3" t="s">
        <v>155</v>
      </c>
      <c r="H109" s="18"/>
      <c r="I109" s="18" t="s">
        <v>541</v>
      </c>
      <c r="J109" s="18"/>
    </row>
    <row r="110" spans="1:10" x14ac:dyDescent="0.2">
      <c r="A110" s="18" t="s">
        <v>570</v>
      </c>
      <c r="B110" s="3" t="s">
        <v>157</v>
      </c>
      <c r="C110" s="18" t="s">
        <v>185</v>
      </c>
      <c r="D110" s="3" t="s">
        <v>163</v>
      </c>
      <c r="E110" s="18" t="s">
        <v>571</v>
      </c>
      <c r="F110" s="18" t="s">
        <v>159</v>
      </c>
      <c r="G110" s="3" t="s">
        <v>471</v>
      </c>
      <c r="H110" s="18"/>
      <c r="I110" s="18" t="s">
        <v>541</v>
      </c>
      <c r="J110" s="18"/>
    </row>
    <row r="111" spans="1:10" x14ac:dyDescent="0.2">
      <c r="A111" s="18" t="s">
        <v>379</v>
      </c>
      <c r="B111" s="3" t="s">
        <v>157</v>
      </c>
      <c r="C111" s="18" t="s">
        <v>380</v>
      </c>
      <c r="D111" s="3" t="s">
        <v>160</v>
      </c>
      <c r="E111" s="18" t="s">
        <v>381</v>
      </c>
      <c r="F111" s="18" t="s">
        <v>159</v>
      </c>
      <c r="G111" s="3" t="s">
        <v>155</v>
      </c>
      <c r="H111" s="18" t="s">
        <v>572</v>
      </c>
      <c r="I111" s="18" t="s">
        <v>524</v>
      </c>
      <c r="J111" s="18"/>
    </row>
    <row r="112" spans="1:10" x14ac:dyDescent="0.2">
      <c r="A112" s="18" t="s">
        <v>382</v>
      </c>
      <c r="B112" s="3" t="s">
        <v>157</v>
      </c>
      <c r="C112" s="18" t="s">
        <v>380</v>
      </c>
      <c r="D112" s="3" t="s">
        <v>160</v>
      </c>
      <c r="E112" s="18" t="s">
        <v>383</v>
      </c>
      <c r="F112" s="18" t="s">
        <v>159</v>
      </c>
      <c r="G112" s="3" t="s">
        <v>155</v>
      </c>
      <c r="H112" s="18" t="s">
        <v>573</v>
      </c>
      <c r="I112" s="18" t="s">
        <v>524</v>
      </c>
      <c r="J112" s="18"/>
    </row>
    <row r="113" spans="1:10" x14ac:dyDescent="0.2">
      <c r="A113" s="18" t="s">
        <v>574</v>
      </c>
      <c r="B113" s="3" t="s">
        <v>157</v>
      </c>
      <c r="C113" s="18" t="s">
        <v>380</v>
      </c>
      <c r="D113" s="3" t="s">
        <v>160</v>
      </c>
      <c r="E113" s="18" t="s">
        <v>575</v>
      </c>
      <c r="F113" s="18" t="s">
        <v>159</v>
      </c>
      <c r="G113" s="3" t="s">
        <v>155</v>
      </c>
      <c r="H113" s="18" t="s">
        <v>576</v>
      </c>
      <c r="I113" s="18" t="s">
        <v>524</v>
      </c>
      <c r="J113" s="18"/>
    </row>
    <row r="114" spans="1:10" x14ac:dyDescent="0.2">
      <c r="A114" s="18" t="s">
        <v>577</v>
      </c>
      <c r="B114" s="3" t="s">
        <v>157</v>
      </c>
      <c r="C114" s="18" t="s">
        <v>380</v>
      </c>
      <c r="D114" s="3" t="s">
        <v>160</v>
      </c>
      <c r="E114" s="18" t="s">
        <v>578</v>
      </c>
      <c r="F114" s="18" t="s">
        <v>159</v>
      </c>
      <c r="G114" s="3" t="s">
        <v>155</v>
      </c>
      <c r="H114" s="18" t="s">
        <v>579</v>
      </c>
      <c r="I114" s="18" t="s">
        <v>524</v>
      </c>
      <c r="J114" s="18"/>
    </row>
    <row r="115" spans="1:10" x14ac:dyDescent="0.2">
      <c r="A115" s="18" t="s">
        <v>384</v>
      </c>
      <c r="B115" s="3" t="s">
        <v>157</v>
      </c>
      <c r="C115" s="18" t="s">
        <v>380</v>
      </c>
      <c r="D115" s="3" t="s">
        <v>160</v>
      </c>
      <c r="E115" s="18" t="s">
        <v>385</v>
      </c>
      <c r="F115" s="18" t="s">
        <v>159</v>
      </c>
      <c r="G115" s="3" t="s">
        <v>155</v>
      </c>
      <c r="H115" s="18" t="s">
        <v>580</v>
      </c>
      <c r="I115" s="18" t="s">
        <v>524</v>
      </c>
      <c r="J115" s="18"/>
    </row>
    <row r="116" spans="1:10" x14ac:dyDescent="0.2">
      <c r="A116" s="18" t="s">
        <v>386</v>
      </c>
      <c r="B116" s="3" t="s">
        <v>157</v>
      </c>
      <c r="C116" s="18" t="s">
        <v>380</v>
      </c>
      <c r="D116" s="3" t="s">
        <v>160</v>
      </c>
      <c r="E116" s="18" t="s">
        <v>387</v>
      </c>
      <c r="F116" s="18" t="s">
        <v>159</v>
      </c>
      <c r="G116" s="3" t="s">
        <v>155</v>
      </c>
      <c r="H116" s="18" t="s">
        <v>581</v>
      </c>
      <c r="I116" s="18" t="s">
        <v>524</v>
      </c>
      <c r="J116" s="18"/>
    </row>
    <row r="117" spans="1:10" x14ac:dyDescent="0.2">
      <c r="A117" s="18" t="s">
        <v>438</v>
      </c>
      <c r="B117" s="3" t="s">
        <v>157</v>
      </c>
      <c r="C117" s="18" t="s">
        <v>439</v>
      </c>
      <c r="D117" s="3" t="s">
        <v>160</v>
      </c>
      <c r="E117" s="18" t="s">
        <v>440</v>
      </c>
      <c r="F117" s="18" t="s">
        <v>159</v>
      </c>
      <c r="G117" s="3" t="s">
        <v>155</v>
      </c>
      <c r="H117" s="18" t="s">
        <v>582</v>
      </c>
      <c r="I117" s="18" t="s">
        <v>524</v>
      </c>
      <c r="J117" s="18"/>
    </row>
    <row r="118" spans="1:10" x14ac:dyDescent="0.2">
      <c r="A118" s="18" t="s">
        <v>441</v>
      </c>
      <c r="B118" s="3" t="s">
        <v>157</v>
      </c>
      <c r="C118" s="18" t="s">
        <v>439</v>
      </c>
      <c r="D118" s="3" t="s">
        <v>160</v>
      </c>
      <c r="E118" s="18" t="s">
        <v>442</v>
      </c>
      <c r="F118" s="18" t="s">
        <v>159</v>
      </c>
      <c r="G118" s="3" t="s">
        <v>155</v>
      </c>
      <c r="H118" s="18" t="s">
        <v>583</v>
      </c>
      <c r="I118" s="18" t="s">
        <v>524</v>
      </c>
      <c r="J118" s="18"/>
    </row>
    <row r="119" spans="1:10" x14ac:dyDescent="0.2">
      <c r="A119" s="18" t="s">
        <v>596</v>
      </c>
      <c r="B119" s="3" t="s">
        <v>157</v>
      </c>
      <c r="C119" s="18" t="s">
        <v>597</v>
      </c>
      <c r="D119" s="3" t="s">
        <v>463</v>
      </c>
      <c r="E119" s="18" t="s">
        <v>598</v>
      </c>
      <c r="F119" s="18" t="s">
        <v>159</v>
      </c>
      <c r="G119" s="3" t="s">
        <v>155</v>
      </c>
      <c r="H119" s="18" t="s">
        <v>599</v>
      </c>
      <c r="I119" s="18" t="s">
        <v>592</v>
      </c>
      <c r="J119" s="18"/>
    </row>
    <row r="120" spans="1:10" x14ac:dyDescent="0.2">
      <c r="A120" s="18" t="s">
        <v>600</v>
      </c>
      <c r="B120" s="3" t="s">
        <v>157</v>
      </c>
      <c r="C120" s="18" t="s">
        <v>597</v>
      </c>
      <c r="D120" s="3" t="s">
        <v>463</v>
      </c>
      <c r="E120" s="18" t="s">
        <v>601</v>
      </c>
      <c r="F120" s="18" t="s">
        <v>159</v>
      </c>
      <c r="G120" s="3" t="s">
        <v>155</v>
      </c>
      <c r="H120" s="18" t="s">
        <v>602</v>
      </c>
      <c r="I120" s="18" t="s">
        <v>592</v>
      </c>
      <c r="J120" s="18"/>
    </row>
    <row r="121" spans="1:10" x14ac:dyDescent="0.2">
      <c r="A121" s="18" t="s">
        <v>388</v>
      </c>
      <c r="B121" s="3" t="s">
        <v>157</v>
      </c>
      <c r="C121" s="18" t="s">
        <v>389</v>
      </c>
      <c r="D121" s="3" t="s">
        <v>160</v>
      </c>
      <c r="E121" s="18" t="s">
        <v>391</v>
      </c>
      <c r="F121" s="18" t="s">
        <v>390</v>
      </c>
      <c r="G121" s="3" t="s">
        <v>155</v>
      </c>
      <c r="H121" s="18" t="s">
        <v>584</v>
      </c>
      <c r="I121" s="18" t="s">
        <v>524</v>
      </c>
      <c r="J121" s="18"/>
    </row>
    <row r="122" spans="1:10" x14ac:dyDescent="0.2">
      <c r="A122" s="18" t="s">
        <v>392</v>
      </c>
      <c r="B122" s="3" t="s">
        <v>157</v>
      </c>
      <c r="C122" s="18" t="s">
        <v>389</v>
      </c>
      <c r="D122" s="3" t="s">
        <v>160</v>
      </c>
      <c r="E122" s="18" t="s">
        <v>393</v>
      </c>
      <c r="F122" s="18" t="s">
        <v>390</v>
      </c>
      <c r="G122" s="3" t="s">
        <v>155</v>
      </c>
      <c r="H122" s="18" t="s">
        <v>585</v>
      </c>
      <c r="I122" s="18" t="s">
        <v>524</v>
      </c>
      <c r="J122" s="18"/>
    </row>
  </sheetData>
  <phoneticPr fontId="20"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ExtractedContributor xmlns="http://schemas.microsoft.com/sharepoint/v3" xsi:nil="true"/>
    <Preservation_x0020_Order_x0020_Numbers xmlns="e6bb6fa4-9c23-4df5-9c72-0315fa8fef6d" xsi:nil="true"/>
    <IP_x0020_Classification xmlns="e6bb6fa4-9c23-4df5-9c72-0315fa8fef6d">Company Confidential</IP_x0020_Classification>
    <Retention_x0020_Start_x0020_Date xmlns="b9f1db13-37d0-4e45-944c-b878e8992007" xsi:nil="true"/>
    <f1f5acf37a9e4df8843432af9802a72a xmlns="b9f1db13-37d0-4e45-944c-b878e8992007">
      <Terms xmlns="http://schemas.microsoft.com/office/infopath/2007/PartnerControls"/>
    </f1f5acf37a9e4df8843432af9802a72a>
    <p01231d88c934046812dbe39cf15431a xmlns="fae423db-7aea-40a7-8e81-2a365c617d65">
      <Terms xmlns="http://schemas.microsoft.com/office/infopath/2007/PartnerControls">
        <TermInfo xmlns="http://schemas.microsoft.com/office/infopath/2007/PartnerControls">
          <TermName xmlns="http://schemas.microsoft.com/office/infopath/2007/PartnerControls">Non-Record</TermName>
          <TermId xmlns="http://schemas.microsoft.com/office/infopath/2007/PartnerControls">1e0fcd32-c316-4759-967f-319c5b88aa7f</TermId>
        </TermInfo>
      </Terms>
    </p01231d88c934046812dbe39cf15431a>
    <p01231d88c934046812dbe39cf15430a xmlns="fae423db-7aea-40a7-8e81-2a365c617d65">
      <Terms xmlns="http://schemas.microsoft.com/office/infopath/2007/PartnerControls">
        <TermInfo xmlns="http://schemas.microsoft.com/office/infopath/2007/PartnerControls">
          <TermName xmlns="http://schemas.microsoft.com/office/infopath/2007/PartnerControls">ITC</TermName>
          <TermId xmlns="http://schemas.microsoft.com/office/infopath/2007/PartnerControls">ecbec78b-50a1-4ef1-8ccc-34a4e3517e4c</TermId>
        </TermInfo>
      </Terms>
    </p01231d88c934046812dbe39cf15430a>
    <Retain_x0020_Until_x0020_Date xmlns="b9f1db13-37d0-4e45-944c-b878e8992007" xsi:nil="true"/>
    <Inactive_x0020_Record xmlns="b9f1db13-37d0-4e45-944c-b878e8992007" xsi:nil="true"/>
    <Location_x0020_Type xmlns="11e2669d-abce-43e6-af1f-34e8d9b13539">All</Location_x0020_Type>
    <TaxCatchAll xmlns="fae423db-7aea-40a7-8e81-2a365c617d65">
      <Value>1</Value>
      <Value>3</Value>
    </TaxCatchAll>
    <Associated_x0020_Project xmlns="11e2669d-abce-43e6-af1f-34e8d9b13539">Core</Associated_x0020_Project>
    <Core_x0020_Documentation xmlns="11e2669d-abce-43e6-af1f-34e8d9b13539">Yes</Core_x0020_Documentation>
    <Document_x0020_Category xmlns="11e2669d-abce-43e6-af1f-34e8d9b13539">Network Provisioning</Document_x0020_Category>
    <Technology_x0020_Focus xmlns="11e2669d-abce-43e6-af1f-34e8d9b13539">Wide Area Network</Technology_x0020_Focus>
    <Region xmlns="11e2669d-abce-43e6-af1f-34e8d9b13539">All</Region>
    <Facility_x0020_Code xmlns="11e2669d-abce-43e6-af1f-34e8d9b13539">ALL</Facility_x0020_Code>
  </documentManagement>
</p:properties>
</file>

<file path=customXml/item2.xml><?xml version="1.0" encoding="utf-8"?>
<ct:contentTypeSchema xmlns:ct="http://schemas.microsoft.com/office/2006/metadata/contentType" xmlns:ma="http://schemas.microsoft.com/office/2006/metadata/properties/metaAttributes" ct:_="" ma:_="" ma:contentTypeName="General Document" ma:contentTypeID="0x010100FBB1BDE89FB27C449A0E29AF421E312401002738AD58B4610A478E0A93891DDB1B97" ma:contentTypeVersion="40" ma:contentTypeDescription="Create a new document." ma:contentTypeScope="" ma:versionID="3f994c295125f1baedbf4bf7eb5b393f">
  <xsd:schema xmlns:xsd="http://www.w3.org/2001/XMLSchema" xmlns:xs="http://www.w3.org/2001/XMLSchema" xmlns:p="http://schemas.microsoft.com/office/2006/metadata/properties" xmlns:ns1="http://schemas.microsoft.com/sharepoint/v3" xmlns:ns3="fae423db-7aea-40a7-8e81-2a365c617d65" xmlns:ns4="e6bb6fa4-9c23-4df5-9c72-0315fa8fef6d" xmlns:ns5="b9f1db13-37d0-4e45-944c-b878e8992007" xmlns:ns6="11e2669d-abce-43e6-af1f-34e8d9b13539" xmlns:ns7="a1d2a642-8c0e-4be2-8d73-f78f3a48523f" targetNamespace="http://schemas.microsoft.com/office/2006/metadata/properties" ma:root="true" ma:fieldsID="ed55386a9b472c939232178b0be3ab02" ns1:_="" ns3:_="" ns4:_="" ns5:_="" ns6:_="" ns7:_="">
    <xsd:import namespace="http://schemas.microsoft.com/sharepoint/v3"/>
    <xsd:import namespace="fae423db-7aea-40a7-8e81-2a365c617d65"/>
    <xsd:import namespace="e6bb6fa4-9c23-4df5-9c72-0315fa8fef6d"/>
    <xsd:import namespace="b9f1db13-37d0-4e45-944c-b878e8992007"/>
    <xsd:import namespace="11e2669d-abce-43e6-af1f-34e8d9b13539"/>
    <xsd:import namespace="a1d2a642-8c0e-4be2-8d73-f78f3a48523f"/>
    <xsd:element name="properties">
      <xsd:complexType>
        <xsd:sequence>
          <xsd:element name="documentManagement">
            <xsd:complexType>
              <xsd:all>
                <xsd:element ref="ns4:IP_x0020_Classification"/>
                <xsd:element ref="ns4:Preservation_x0020_Order_x0020_Numbers" minOccurs="0"/>
                <xsd:element ref="ns5:Retention_x0020_Start_x0020_Date" minOccurs="0"/>
                <xsd:element ref="ns5:Retain_x0020_Until_x0020_Date" minOccurs="0"/>
                <xsd:element ref="ns3:TaxCatchAllLabel" minOccurs="0"/>
                <xsd:element ref="ns3:p01231d88c934046812dbe39cf15431a" minOccurs="0"/>
                <xsd:element ref="ns3:p01231d88c934046812dbe39cf15430a" minOccurs="0"/>
                <xsd:element ref="ns3:TaxCatchAll" minOccurs="0"/>
                <xsd:element ref="ns1:ExtractedContributor" minOccurs="0"/>
                <xsd:element ref="ns5:Inactive_x0020_Record" minOccurs="0"/>
                <xsd:element ref="ns5:f1f5acf37a9e4df8843432af9802a72a" minOccurs="0"/>
                <xsd:element ref="ns6:Location_x0020_Type"/>
                <xsd:element ref="ns6:Technology_x0020_Focus"/>
                <xsd:element ref="ns6:Facility_x0020_Code"/>
                <xsd:element ref="ns6:MediaServiceMetadata" minOccurs="0"/>
                <xsd:element ref="ns6:MediaServiceFastMetadata" minOccurs="0"/>
                <xsd:element ref="ns6:Document_x0020_Category"/>
                <xsd:element ref="ns6:Associated_x0020_Project"/>
                <xsd:element ref="ns7:SharedWithUsers" minOccurs="0"/>
                <xsd:element ref="ns7:SharedWithDetails" minOccurs="0"/>
                <xsd:element ref="ns6:Region"/>
                <xsd:element ref="ns6:Core_x0020_Documentation"/>
                <xsd:element ref="ns6:MediaServiceAutoKeyPoints" minOccurs="0"/>
                <xsd:element ref="ns6: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xtractedContributor" ma:index="19" nillable="true" ma:displayName="Extracted Contributor" ma:description="Extracted Contributor" ma:internalName="ExtractedContributor"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ae423db-7aea-40a7-8e81-2a365c617d65" elementFormDefault="qualified">
    <xsd:import namespace="http://schemas.microsoft.com/office/2006/documentManagement/types"/>
    <xsd:import namespace="http://schemas.microsoft.com/office/infopath/2007/PartnerControls"/>
    <xsd:element name="TaxCatchAllLabel" ma:index="9" nillable="true" ma:displayName="Taxonomy Catch All Column1" ma:hidden="true" ma:list="{d928c7d2-f318-4347-968c-e44581dc8122}" ma:internalName="TaxCatchAllLabel" ma:readOnly="true" ma:showField="CatchAllDataLabel" ma:web="2b489392-c913-418a-ae1e-77cf49d6489c">
      <xsd:complexType>
        <xsd:complexContent>
          <xsd:extension base="dms:MultiChoiceLookup">
            <xsd:sequence>
              <xsd:element name="Value" type="dms:Lookup" maxOccurs="unbounded" minOccurs="0" nillable="true"/>
            </xsd:sequence>
          </xsd:extension>
        </xsd:complexContent>
      </xsd:complexType>
    </xsd:element>
    <xsd:element name="p01231d88c934046812dbe39cf15431a" ma:index="13" ma:taxonomy="true" ma:internalName="p01231d88c934046812dbe39cf15431a" ma:taxonomyFieldName="Retention_x0020_Category" ma:displayName="Retention Category" ma:readOnly="false" ma:default="6;#Reference Document|b32bd135-7ebe-49d0-bfcc-ca766c5e9989" ma:fieldId="{fd1ef4d8-3e07-46a2-b2b4-c9e81ccc81f4}" ma:sspId="03b784c7-ee61-4ee7-89a9-d87ec2bf0954" ma:termSetId="fda4940a-b680-4317-929f-5e2e0638e24f" ma:anchorId="00000000-0000-0000-0000-000000000000" ma:open="false" ma:isKeyword="false">
      <xsd:complexType>
        <xsd:sequence>
          <xsd:element ref="pc:Terms" minOccurs="0" maxOccurs="1"/>
        </xsd:sequence>
      </xsd:complexType>
    </xsd:element>
    <xsd:element name="p01231d88c934046812dbe39cf15430a" ma:index="16" ma:taxonomy="true" ma:internalName="p01231d88c934046812dbe39cf15430a" ma:taxonomyFieldName="Chevron_x0020_Organization" ma:displayName="Owner Organization" ma:readOnly="false" ma:default="7;#ITSD|bc7be532-e7a6-4882-bf05-1bff6add6fcb" ma:fieldId="{901231d8-8c93-4046-812d-be39cf15430a}" ma:sspId="03b784c7-ee61-4ee7-89a9-d87ec2bf0954" ma:termSetId="4bf10e93-cbf8-470b-bd43-152d61f74238" ma:anchorId="00000000-0000-0000-0000-000000000000" ma:open="false" ma:isKeyword="false">
      <xsd:complexType>
        <xsd:sequence>
          <xsd:element ref="pc:Terms" minOccurs="0" maxOccurs="1"/>
        </xsd:sequence>
      </xsd:complexType>
    </xsd:element>
    <xsd:element name="TaxCatchAll" ma:index="17" nillable="true" ma:displayName="Taxonomy Catch All Column" ma:hidden="true" ma:list="{d928c7d2-f318-4347-968c-e44581dc8122}" ma:internalName="TaxCatchAll" ma:showField="CatchAllData" ma:web="2b489392-c913-418a-ae1e-77cf49d648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6bb6fa4-9c23-4df5-9c72-0315fa8fef6d" elementFormDefault="qualified">
    <xsd:import namespace="http://schemas.microsoft.com/office/2006/documentManagement/types"/>
    <xsd:import namespace="http://schemas.microsoft.com/office/infopath/2007/PartnerControls"/>
    <xsd:element name="IP_x0020_Classification" ma:index="4" ma:displayName="IP Classification" ma:default="Company Confidential" ma:description="Sensitivity of the information" ma:format="Dropdown" ma:internalName="IP_x0020_Classification" ma:readOnly="false">
      <xsd:simpleType>
        <xsd:restriction base="dms:Choice">
          <xsd:enumeration value="Public"/>
          <xsd:enumeration value="Company Confidential"/>
          <xsd:enumeration value="Confidential Restricted"/>
          <xsd:enumeration value="Classified"/>
        </xsd:restriction>
      </xsd:simpleType>
    </xsd:element>
    <xsd:element name="Preservation_x0020_Order_x0020_Numbers" ma:index="5" nillable="true" ma:displayName="Preservation Order Numbers" ma:description="Preservation Order Numbers, when issued by Legal, require that this item MUST NOT be deleted. Separate multiple preservation order numbers with commas." ma:internalName="Preservation_x0020_Order_x0020_Number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9f1db13-37d0-4e45-944c-b878e8992007" elementFormDefault="qualified">
    <xsd:import namespace="http://schemas.microsoft.com/office/2006/documentManagement/types"/>
    <xsd:import namespace="http://schemas.microsoft.com/office/infopath/2007/PartnerControls"/>
    <xsd:element name="Retention_x0020_Start_x0020_Date" ma:index="7" nillable="true" ma:displayName="Retention Start Date" ma:description="The start date for retention period calculation." ma:format="DateOnly" ma:internalName="Retention_x0020_Start_x0020_Date">
      <xsd:simpleType>
        <xsd:restriction base="dms:DateTime"/>
      </xsd:simpleType>
    </xsd:element>
    <xsd:element name="Retain_x0020_Until_x0020_Date" ma:index="8" nillable="true" ma:displayName="Retain Until Date" ma:description="The start date for retention period calculation." ma:format="DateOnly" ma:internalName="Retain_x0020_Until_x0020_Date">
      <xsd:simpleType>
        <xsd:restriction base="dms:DateTime"/>
      </xsd:simpleType>
    </xsd:element>
    <xsd:element name="Inactive_x0020_Record" ma:index="20" nillable="true" ma:displayName="Inactive Record" ma:description="Used to designate records as inactive." ma:internalName="Inactive_x0020_Record">
      <xsd:simpleType>
        <xsd:restriction base="dms:Boolean"/>
      </xsd:simpleType>
    </xsd:element>
    <xsd:element name="f1f5acf37a9e4df8843432af9802a72a" ma:index="21" nillable="true" ma:taxonomy="true" ma:internalName="f1f5acf37a9e4df8843432af9802a72a" ma:taxonomyFieldName="Chevron_x0020_Discipline" ma:displayName="Chevron Discipline" ma:fieldId="{f1f5acf3-7a9e-4df8-8434-32af9802a72a}" ma:sspId="03b784c7-ee61-4ee7-89a9-d87ec2bf0954" ma:termSetId="84286160-6c66-4956-a819-71b834cd237e"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1e2669d-abce-43e6-af1f-34e8d9b13539" elementFormDefault="qualified">
    <xsd:import namespace="http://schemas.microsoft.com/office/2006/documentManagement/types"/>
    <xsd:import namespace="http://schemas.microsoft.com/office/infopath/2007/PartnerControls"/>
    <xsd:element name="Location_x0020_Type" ma:index="23" ma:displayName="Network Location Type" ma:format="Dropdown" ma:internalName="Location_x0020_Type">
      <xsd:simpleType>
        <xsd:restriction base="dms:Choice">
          <xsd:enumeration value="All"/>
          <xsd:enumeration value="B-Hub"/>
          <xsd:enumeration value="C-Hub"/>
          <xsd:enumeration value="C-Hub - Extranet"/>
          <xsd:enumeration value="D-Hub"/>
          <xsd:enumeration value="Remote Site"/>
        </xsd:restriction>
      </xsd:simpleType>
    </xsd:element>
    <xsd:element name="Technology_x0020_Focus" ma:index="24" ma:displayName="Technology Focus" ma:format="Dropdown" ma:internalName="Technology_x0020_Focus">
      <xsd:simpleType>
        <xsd:restriction base="dms:Choice">
          <xsd:enumeration value="Data"/>
          <xsd:enumeration value="Datacenter"/>
          <xsd:enumeration value="Extranet"/>
          <xsd:enumeration value="IIoT"/>
          <xsd:enumeration value="IPT"/>
          <xsd:enumeration value="Local Area Network"/>
          <xsd:enumeration value="Management &amp; Monitoring Tools"/>
          <xsd:enumeration value="Network Hardware/Devices"/>
          <xsd:enumeration value="Network Security"/>
          <xsd:enumeration value="RF"/>
          <xsd:enumeration value="Wide Area Network"/>
          <xsd:enumeration value="WiFi"/>
        </xsd:restriction>
      </xsd:simpleType>
    </xsd:element>
    <xsd:element name="Facility_x0020_Code" ma:index="25" ma:displayName="Facility Code" ma:format="Dropdown" ma:internalName="Facility_x0020_Code">
      <xsd:simpleType>
        <xsd:union memberTypes="dms:Text">
          <xsd:simpleType>
            <xsd:restriction base="dms:Choice">
              <xsd:enumeration value="ALL"/>
              <xsd:enumeration value="AMSQX3"/>
              <xsd:enumeration value="BCO"/>
              <xsd:enumeration value="BDO"/>
              <xsd:enumeration value="BK9525"/>
              <xsd:enumeration value="BO1930"/>
              <xsd:enumeration value="BOG"/>
              <xsd:enumeration value="BRE221"/>
              <xsd:enumeration value="BRECA"/>
              <xsd:enumeration value="BUE355"/>
              <xsd:enumeration value="BUEAR"/>
              <xsd:enumeration value="BZRJO"/>
              <xsd:enumeration value="CAPEHO"/>
              <xsd:enumeration value="CARVE"/>
              <xsd:enumeration value="CHVPK"/>
              <xsd:enumeration value="DAL717"/>
              <xsd:enumeration value="DALQX3"/>
              <xsd:enumeration value="F08820"/>
              <xsd:enumeration value="GUA610"/>
              <xsd:enumeration value="HOU150"/>
              <xsd:enumeration value="HOU517"/>
              <xsd:enumeration value="HT1080"/>
              <xsd:enumeration value="HUMTX"/>
              <xsd:enumeration value="KAH"/>
              <xsd:enumeration value="KAPHI"/>
              <xsd:enumeration value="KER12"/>
              <xsd:enumeration value="KERTX"/>
              <xsd:enumeration value="KHHQ"/>
              <xsd:enumeration value="KIT133"/>
              <xsd:enumeration value="KIT148"/>
              <xsd:enumeration value="KIT366"/>
              <xsd:enumeration value="LAGNR"/>
              <xsd:enumeration value="LAXQX1"/>
              <xsd:enumeration value="LONPWG"/>
              <xsd:enumeration value="LOR120"/>
              <xsd:enumeration value="LOU440"/>
              <xsd:enumeration value="LOU940"/>
              <xsd:enumeration value="LOV609"/>
              <xsd:enumeration value="LOV807"/>
              <xsd:enumeration value="LUAA"/>
              <xsd:enumeration value="MONR15"/>
              <xsd:enumeration value="PAN"/>
              <xsd:enumeration value="PNC01"/>
              <xsd:enumeration value="RA4RIA"/>
              <xsd:enumeration value="SAN520"/>
              <xsd:enumeration value="SGDC1"/>
              <xsd:enumeration value="SINQX1"/>
              <xsd:enumeration value="SJCQX1"/>
              <xsd:enumeration value="SPS"/>
              <xsd:enumeration value="TOKQX4"/>
              <xsd:enumeration value="ZARF"/>
              <xsd:enumeration value="N/A"/>
            </xsd:restriction>
          </xsd:simpleType>
        </xsd:union>
      </xsd:simpleType>
    </xsd:element>
    <xsd:element name="MediaServiceMetadata" ma:index="26" nillable="true" ma:displayName="MediaServiceMetadata" ma:hidden="true" ma:internalName="MediaServiceMetadata" ma:readOnly="true">
      <xsd:simpleType>
        <xsd:restriction base="dms:Note"/>
      </xsd:simpleType>
    </xsd:element>
    <xsd:element name="MediaServiceFastMetadata" ma:index="27" nillable="true" ma:displayName="MediaServiceFastMetadata" ma:hidden="true" ma:internalName="MediaServiceFastMetadata" ma:readOnly="true">
      <xsd:simpleType>
        <xsd:restriction base="dms:Note"/>
      </xsd:simpleType>
    </xsd:element>
    <xsd:element name="Document_x0020_Category" ma:index="28" ma:displayName="Document Category" ma:format="Dropdown" ma:internalName="Document_x0020_Category">
      <xsd:simpleType>
        <xsd:restriction base="dms:Choice">
          <xsd:enumeration value="Compliance Procedure"/>
          <xsd:enumeration value="Management Systems"/>
          <xsd:enumeration value="Network As-Built"/>
          <xsd:enumeration value="Network Design &amp; Policies"/>
          <xsd:enumeration value="Network Provisioning"/>
          <xsd:enumeration value="Network Toolkit"/>
          <xsd:enumeration value="Operating Procedure"/>
          <xsd:enumeration value="Service Guides"/>
          <xsd:enumeration value="Service Provisioning"/>
          <xsd:enumeration value="Standards and Template"/>
          <xsd:enumeration value="Training"/>
        </xsd:restriction>
      </xsd:simpleType>
    </xsd:element>
    <xsd:element name="Associated_x0020_Project" ma:index="29" ma:displayName="Associated Project" ma:format="Dropdown" ma:internalName="Associated_x0020_Project">
      <xsd:simpleType>
        <xsd:restriction base="dms:Choice">
          <xsd:enumeration value="N/A"/>
          <xsd:enumeration value="Core"/>
          <xsd:enumeration value="RWAN"/>
          <xsd:enumeration value="APDC"/>
          <xsd:enumeration value="DC2DC"/>
          <xsd:enumeration value="IP Trunking"/>
          <xsd:enumeration value="IPV6"/>
          <xsd:enumeration value="M2M"/>
          <xsd:enumeration value="MSR"/>
          <xsd:enumeration value="QoS"/>
          <xsd:enumeration value="Extranet Redesign"/>
          <xsd:enumeration value="GNOSR"/>
          <xsd:enumeration value="Enhanced Network Transport"/>
          <xsd:enumeration value="Data Center Optimization"/>
          <xsd:enumeration value="Cisco OS Upgrade"/>
          <xsd:enumeration value="UAS"/>
        </xsd:restriction>
      </xsd:simpleType>
    </xsd:element>
    <xsd:element name="Region" ma:index="32" ma:displayName="Region" ma:format="Dropdown" ma:internalName="Region">
      <xsd:simpleType>
        <xsd:restriction base="dms:Choice">
          <xsd:enumeration value="All"/>
          <xsd:enumeration value="Africa"/>
          <xsd:enumeration value="Asia"/>
          <xsd:enumeration value="Australia"/>
          <xsd:enumeration value="Europe"/>
          <xsd:enumeration value="Central America"/>
          <xsd:enumeration value="North America"/>
          <xsd:enumeration value="South America"/>
        </xsd:restriction>
      </xsd:simpleType>
    </xsd:element>
    <xsd:element name="Core_x0020_Documentation" ma:index="33" ma:displayName="Core Documentation" ma:description="Is this a Core Document?" ma:format="Dropdown" ma:internalName="Core_x0020_Documentation">
      <xsd:simpleType>
        <xsd:restriction base="dms:Choice">
          <xsd:enumeration value="Yes"/>
          <xsd:enumeration value="No"/>
        </xsd:restriction>
      </xsd:simpleType>
    </xsd:element>
    <xsd:element name="MediaServiceAutoKeyPoints" ma:index="34" nillable="true" ma:displayName="MediaServiceAutoKeyPoints" ma:hidden="true" ma:internalName="MediaServiceAutoKeyPoints" ma:readOnly="true">
      <xsd:simpleType>
        <xsd:restriction base="dms:Note"/>
      </xsd:simpleType>
    </xsd:element>
    <xsd:element name="MediaServiceKeyPoints" ma:index="35"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1d2a642-8c0e-4be2-8d73-f78f3a48523f" elementFormDefault="qualified">
    <xsd:import namespace="http://schemas.microsoft.com/office/2006/documentManagement/types"/>
    <xsd:import namespace="http://schemas.microsoft.com/office/infopath/2007/PartnerControls"/>
    <xsd:element name="SharedWithUsers" ma:index="3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axOccurs="1" ma:index="2" ma:displayName="Author"/>
        <xsd:element ref="dcterms:created" minOccurs="0" maxOccurs="1"/>
        <xsd:element ref="dc:identifier" minOccurs="0" maxOccurs="1"/>
        <xsd:element name="contentType" minOccurs="0" maxOccurs="1" type="xsd:string" ma:index="18"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03b784c7-ee61-4ee7-89a9-d87ec2bf0954" ContentTypeId="0x010100FBB1BDE89FB27C449A0E29AF421E312401" PreviousValue="false"/>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6E8096-A6CB-41F4-9CD5-D828B46F59A0}">
  <ds:schemaRefs>
    <ds:schemaRef ds:uri="11e2669d-abce-43e6-af1f-34e8d9b13539"/>
    <ds:schemaRef ds:uri="a1d2a642-8c0e-4be2-8d73-f78f3a48523f"/>
    <ds:schemaRef ds:uri="http://purl.org/dc/elements/1.1/"/>
    <ds:schemaRef ds:uri="http://schemas.microsoft.com/office/2006/metadata/properties"/>
    <ds:schemaRef ds:uri="http://schemas.microsoft.com/office/infopath/2007/PartnerControls"/>
    <ds:schemaRef ds:uri="http://schemas.microsoft.com/sharepoint/v3"/>
    <ds:schemaRef ds:uri="b9f1db13-37d0-4e45-944c-b878e8992007"/>
    <ds:schemaRef ds:uri="http://purl.org/dc/terms/"/>
    <ds:schemaRef ds:uri="http://schemas.openxmlformats.org/package/2006/metadata/core-properties"/>
    <ds:schemaRef ds:uri="e6bb6fa4-9c23-4df5-9c72-0315fa8fef6d"/>
    <ds:schemaRef ds:uri="http://schemas.microsoft.com/office/2006/documentManagement/types"/>
    <ds:schemaRef ds:uri="fae423db-7aea-40a7-8e81-2a365c617d65"/>
    <ds:schemaRef ds:uri="http://www.w3.org/XML/1998/namespace"/>
    <ds:schemaRef ds:uri="http://purl.org/dc/dcmitype/"/>
  </ds:schemaRefs>
</ds:datastoreItem>
</file>

<file path=customXml/itemProps2.xml><?xml version="1.0" encoding="utf-8"?>
<ds:datastoreItem xmlns:ds="http://schemas.openxmlformats.org/officeDocument/2006/customXml" ds:itemID="{EDDE1815-7BC1-403E-94F8-CF75825ADF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ae423db-7aea-40a7-8e81-2a365c617d65"/>
    <ds:schemaRef ds:uri="e6bb6fa4-9c23-4df5-9c72-0315fa8fef6d"/>
    <ds:schemaRef ds:uri="b9f1db13-37d0-4e45-944c-b878e8992007"/>
    <ds:schemaRef ds:uri="11e2669d-abce-43e6-af1f-34e8d9b13539"/>
    <ds:schemaRef ds:uri="a1d2a642-8c0e-4be2-8d73-f78f3a4852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92C44BB-C6F5-4E10-95A7-3B14E94C5E1C}">
  <ds:schemaRefs>
    <ds:schemaRef ds:uri="Microsoft.SharePoint.Taxonomy.ContentTypeSync"/>
  </ds:schemaRefs>
</ds:datastoreItem>
</file>

<file path=customXml/itemProps4.xml><?xml version="1.0" encoding="utf-8"?>
<ds:datastoreItem xmlns:ds="http://schemas.openxmlformats.org/officeDocument/2006/customXml" ds:itemID="{F642EC0D-B6BC-4FC2-B69D-309B9B12F4BE}">
  <ds:schemaRefs>
    <ds:schemaRef ds:uri="http://schemas.microsoft.com/office/2006/metadata/longProperties"/>
  </ds:schemaRefs>
</ds:datastoreItem>
</file>

<file path=customXml/itemProps5.xml><?xml version="1.0" encoding="utf-8"?>
<ds:datastoreItem xmlns:ds="http://schemas.openxmlformats.org/officeDocument/2006/customXml" ds:itemID="{DF77A54F-07C7-4133-9C27-F088B4400B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Details</vt:lpstr>
      <vt:lpstr>Config Part 1</vt:lpstr>
      <vt:lpstr>Config Part 2</vt:lpstr>
      <vt:lpstr>Verification</vt:lpstr>
      <vt:lpstr>Version History</vt:lpstr>
      <vt:lpstr>Routers</vt:lpstr>
      <vt:lpstr>aeInterface</vt:lpstr>
      <vt:lpstr>AEip</vt:lpstr>
      <vt:lpstr>FacCode</vt:lpstr>
      <vt:lpstr>Hostname</vt:lpstr>
      <vt:lpstr>ISOAddress</vt:lpstr>
      <vt:lpstr>LocInfo</vt:lpstr>
      <vt:lpstr>'Config Part 2'!LongRouterNames</vt:lpstr>
      <vt:lpstr>LongRouterNames</vt:lpstr>
      <vt:lpstr>LoopbackIP</vt:lpstr>
      <vt:lpstr>physicalInterface</vt:lpstr>
      <vt:lpstr>VLAN</vt:lpstr>
    </vt:vector>
  </TitlesOfParts>
  <Company>Chevron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Core PE GUP Template</dc:title>
  <dc:creator>Steve Hodgkiss</dc:creator>
  <cp:lastModifiedBy>Hodgkiss, Steve G</cp:lastModifiedBy>
  <dcterms:created xsi:type="dcterms:W3CDTF">2006-01-19T11:00:06Z</dcterms:created>
  <dcterms:modified xsi:type="dcterms:W3CDTF">2021-06-09T12:06:11Z</dcterms:modified>
  <cp:category>Global Core, WAN, MPLS,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General Document</vt:lpwstr>
  </property>
  <property fmtid="{D5CDD505-2E9C-101B-9397-08002B2CF9AE}" pid="3" name="_dlc_DocId">
    <vt:lpwstr>4CWMMVTSRM3J-76-97</vt:lpwstr>
  </property>
  <property fmtid="{D5CDD505-2E9C-101B-9397-08002B2CF9AE}" pid="4" name="_dlc_DocIdItemGuid">
    <vt:lpwstr>ffba4223-d005-4106-a4d4-8849391af8f9</vt:lpwstr>
  </property>
  <property fmtid="{D5CDD505-2E9C-101B-9397-08002B2CF9AE}" pid="5" name="_dlc_DocIdUrl">
    <vt:lpwstr>https://collab001-wfc.sp.chevron.net/sites/ITCLonEhub/networks/_layouts/DocIdRedir.aspx?ID=4CWMMVTSRM3J-76-97, 4CWMMVTSRM3J-76-97</vt:lpwstr>
  </property>
  <property fmtid="{D5CDD505-2E9C-101B-9397-08002B2CF9AE}" pid="6" name="ContentTypeId">
    <vt:lpwstr>0x010100FBB1BDE89FB27C449A0E29AF421E312401002738AD58B4610A478E0A93891DDB1B97</vt:lpwstr>
  </property>
  <property fmtid="{D5CDD505-2E9C-101B-9397-08002B2CF9AE}" pid="7" name="xd_Signature">
    <vt:bool>false</vt:bool>
  </property>
  <property fmtid="{D5CDD505-2E9C-101B-9397-08002B2CF9AE}" pid="8" name="xd_ProgID">
    <vt:lpwstr/>
  </property>
  <property fmtid="{D5CDD505-2E9C-101B-9397-08002B2CF9AE}" pid="9" name="TemplateUrl">
    <vt:lpwstr/>
  </property>
  <property fmtid="{D5CDD505-2E9C-101B-9397-08002B2CF9AE}" pid="10" name="_dlc_policyId">
    <vt:lpwstr>/sites/naspark/SPARK Library</vt:lpwstr>
  </property>
  <property fmtid="{D5CDD505-2E9C-101B-9397-08002B2CF9AE}" pid="11" name="ItemRetentionFormula">
    <vt:lpwstr/>
  </property>
  <property fmtid="{D5CDD505-2E9C-101B-9397-08002B2CF9AE}" pid="12" name="Chevron_x0020_Organization">
    <vt:lpwstr>4;#ITC|ecbec78b-50a1-4ef1-8ccc-34a4e3517e4c</vt:lpwstr>
  </property>
  <property fmtid="{D5CDD505-2E9C-101B-9397-08002B2CF9AE}" pid="13" name="Chevron Organization">
    <vt:lpwstr>3;#ITC|ecbec78b-50a1-4ef1-8ccc-34a4e3517e4c</vt:lpwstr>
  </property>
  <property fmtid="{D5CDD505-2E9C-101B-9397-08002B2CF9AE}" pid="14" name="_dlc_ExpireDate">
    <vt:filetime>2019-06-12T15:52:03Z</vt:filetime>
  </property>
  <property fmtid="{D5CDD505-2E9C-101B-9397-08002B2CF9AE}" pid="15" name="p01231d88c934046812dbe39cf15430a">
    <vt:lpwstr>ITC|ecbec78b-50a1-4ef1-8ccc-34a4e3517e4c</vt:lpwstr>
  </property>
  <property fmtid="{D5CDD505-2E9C-101B-9397-08002B2CF9AE}" pid="16" name="IP Classification">
    <vt:lpwstr>Company Confidential</vt:lpwstr>
  </property>
  <property fmtid="{D5CDD505-2E9C-101B-9397-08002B2CF9AE}" pid="17" name="DLCPolicyLabelValue">
    <vt:lpwstr>© 2016 Chevron U.S.A., Inc. All rights reserved.</vt:lpwstr>
  </property>
  <property fmtid="{D5CDD505-2E9C-101B-9397-08002B2CF9AE}" pid="18" name="WorkflowChangePath">
    <vt:lpwstr>7a135895-d87a-433e-b88d-5938e0562a05,24;</vt:lpwstr>
  </property>
  <property fmtid="{D5CDD505-2E9C-101B-9397-08002B2CF9AE}" pid="19" name="DLCPolicyLabelClientValue">
    <vt:lpwstr>© 2016 Chevron U.S.A., Inc. All rights reserved.</vt:lpwstr>
  </property>
  <property fmtid="{D5CDD505-2E9C-101B-9397-08002B2CF9AE}" pid="20" name="MSIP_Label_07581a45-ebc1-4f92-9275-5bfe010ae689_Enabled">
    <vt:lpwstr>true</vt:lpwstr>
  </property>
  <property fmtid="{D5CDD505-2E9C-101B-9397-08002B2CF9AE}" pid="21" name="MSIP_Label_07581a45-ebc1-4f92-9275-5bfe010ae689_SetDate">
    <vt:lpwstr>2019-12-04T19:17:02Z</vt:lpwstr>
  </property>
  <property fmtid="{D5CDD505-2E9C-101B-9397-08002B2CF9AE}" pid="22" name="MSIP_Label_07581a45-ebc1-4f92-9275-5bfe010ae689_Method">
    <vt:lpwstr>Standard</vt:lpwstr>
  </property>
  <property fmtid="{D5CDD505-2E9C-101B-9397-08002B2CF9AE}" pid="23" name="MSIP_Label_07581a45-ebc1-4f92-9275-5bfe010ae689_Name">
    <vt:lpwstr>Company Confidential</vt:lpwstr>
  </property>
  <property fmtid="{D5CDD505-2E9C-101B-9397-08002B2CF9AE}" pid="24" name="MSIP_Label_07581a45-ebc1-4f92-9275-5bfe010ae689_SiteId">
    <vt:lpwstr>fd799da1-bfc1-4234-a91c-72b3a1cb9e26</vt:lpwstr>
  </property>
  <property fmtid="{D5CDD505-2E9C-101B-9397-08002B2CF9AE}" pid="25" name="MSIP_Label_07581a45-ebc1-4f92-9275-5bfe010ae689_ActionId">
    <vt:lpwstr>a3ba59ea-bed2-4cfc-9da1-0000d2c48197</vt:lpwstr>
  </property>
  <property fmtid="{D5CDD505-2E9C-101B-9397-08002B2CF9AE}" pid="26" name="MSIP_Label_07581a45-ebc1-4f92-9275-5bfe010ae689_ContentBits">
    <vt:lpwstr>0</vt:lpwstr>
  </property>
  <property fmtid="{D5CDD505-2E9C-101B-9397-08002B2CF9AE}" pid="27" name="Chevron Discipline">
    <vt:lpwstr/>
  </property>
  <property fmtid="{D5CDD505-2E9C-101B-9397-08002B2CF9AE}" pid="28" name="Retention Category">
    <vt:lpwstr>1;#Non-Record|1e0fcd32-c316-4759-967f-319c5b88aa7f</vt:lpwstr>
  </property>
</Properties>
</file>